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F9275141-BD0C-4F3E-B0BB-139E16BFD8B9}" xr6:coauthVersionLast="47" xr6:coauthVersionMax="47" xr10:uidLastSave="{00000000-0000-0000-0000-000000000000}"/>
  <bookViews>
    <workbookView xWindow="-108" yWindow="-108" windowWidth="23256" windowHeight="12456" xr2:uid="{6D867197-8851-4020-8B8B-50E2AD962331}"/>
  </bookViews>
  <sheets>
    <sheet name="Hospital_Data (1)" sheetId="1" r:id="rId1"/>
    <sheet name="highest_medical-burden" sheetId="2" r:id="rId2"/>
    <sheet name="month_expense" sheetId="6" r:id="rId3"/>
    <sheet name="hospital_efficiency" sheetId="7" r:id="rId4"/>
    <sheet name="Avg_stay-dep" sheetId="8" r:id="rId5"/>
    <sheet name="patients v|s Expenses" sheetId="10" r:id="rId6"/>
  </sheets>
  <calcPr calcId="191029"/>
  <pivotCaches>
    <pivotCache cacheId="0" r:id="rId7"/>
    <pivotCache cacheId="35" r:id="rId8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</calcChain>
</file>

<file path=xl/sharedStrings.xml><?xml version="1.0" encoding="utf-8"?>
<sst xmlns="http://schemas.openxmlformats.org/spreadsheetml/2006/main" count="401" uniqueCount="61">
  <si>
    <t>Hospital Name</t>
  </si>
  <si>
    <t>Location</t>
  </si>
  <si>
    <t>Department</t>
  </si>
  <si>
    <t>Doctors Count</t>
  </si>
  <si>
    <t>Patients Count</t>
  </si>
  <si>
    <t>Admission Date</t>
  </si>
  <si>
    <t>Discharge Date</t>
  </si>
  <si>
    <t>Medical Expenses</t>
  </si>
  <si>
    <t>Wellness Clinic</t>
  </si>
  <si>
    <t>Chennai</t>
  </si>
  <si>
    <t>Orthopedics</t>
  </si>
  <si>
    <t>Fortis Care</t>
  </si>
  <si>
    <t>Pune</t>
  </si>
  <si>
    <t>ENT</t>
  </si>
  <si>
    <t>Ahmedabad</t>
  </si>
  <si>
    <t>Pediatrics</t>
  </si>
  <si>
    <t>Heritage Hospital</t>
  </si>
  <si>
    <t>Hyderabad</t>
  </si>
  <si>
    <t>Urology</t>
  </si>
  <si>
    <t>City Hospital</t>
  </si>
  <si>
    <t>Kolkata</t>
  </si>
  <si>
    <t>Gynecology</t>
  </si>
  <si>
    <t>Oncology</t>
  </si>
  <si>
    <t>Global Medicare</t>
  </si>
  <si>
    <t>Apollo Health</t>
  </si>
  <si>
    <t>Jaipur</t>
  </si>
  <si>
    <t>General Medicine</t>
  </si>
  <si>
    <t>Green Valley Hospital</t>
  </si>
  <si>
    <t>Healing Touch</t>
  </si>
  <si>
    <t>Mumbai</t>
  </si>
  <si>
    <t>Dermatology</t>
  </si>
  <si>
    <t>Lucknow</t>
  </si>
  <si>
    <t>Cardiology</t>
  </si>
  <si>
    <t>Sunrise Medical</t>
  </si>
  <si>
    <t>Neurology</t>
  </si>
  <si>
    <t>Delhi</t>
  </si>
  <si>
    <t>Metro Hospital</t>
  </si>
  <si>
    <t>Bangalore</t>
  </si>
  <si>
    <t>Row Labels</t>
  </si>
  <si>
    <t>Grand Total</t>
  </si>
  <si>
    <t>Sum of Medical Expenses</t>
  </si>
  <si>
    <t>Sum of Patients Count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</si>
  <si>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</si>
  <si>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</si>
  <si>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</si>
  <si>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</si>
  <si>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</si>
  <si>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</si>
  <si>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</si>
  <si>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</si>
  <si>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</si>
  <si>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</si>
  <si>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</si>
  <si>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</si>
  <si>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 5 HIGHEST EXPENSES MONTHS</t>
  </si>
  <si>
    <t>TOP 5 LOWEST EXPENSES MONTHS</t>
  </si>
  <si>
    <t>Sum of Cost Per Patients</t>
  </si>
  <si>
    <t xml:space="preserve">                                                                             MOST EFFICIENT HOSPITAL</t>
  </si>
  <si>
    <t>HIGHEST MEDICAL BURDEN</t>
  </si>
  <si>
    <t>Stay Duration</t>
  </si>
  <si>
    <t>Average of Stay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</si>
</sst>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5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33" borderId="0" xfId="0" applyFill="1"/>
    <xf numFmtId="0" fontId="0" fillId="34" borderId="0" xfId="0" applyFill="1" applyAlignment="1">
      <alignment horizontal="left"/>
    </xf>
    <xf numFmtId="0" fontId="0" fillId="34" borderId="0" xfId="0" applyFill="1"/>
    <xf numFmtId="0" fontId="0" fillId="35" borderId="0" xfId="0" applyFill="1" applyAlignment="1">
      <alignment horizontal="left"/>
    </xf>
    <xf numFmtId="0" fontId="0" fillId="35" borderId="0" xfId="0" applyFill="1"/>
    <xf numFmtId="2" fontId="0" fillId="33" borderId="0" xfId="0" applyNumberFormat="1" applyFill="1"/>
    <xf numFmtId="43" fontId="0" fillId="35" borderId="0" xfId="0" applyNumberFormat="1" applyFill="1"/>
    <xf numFmtId="43" fontId="0" fillId="33" borderId="0" xfId="0" applyNumberFormat="1" applyFill="1"/>
    <xf numFmtId="0" fontId="18" fillId="0" borderId="0" xfId="0" applyFont="1"/>
    <xf numFmtId="0" fontId="19" fillId="0" borderId="0" xfId="0" applyFont="1"/>
    <xf numFmtId="0" fontId="0" fillId="0" borderId="11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14" fontId="0" fillId="0" borderId="17" xfId="0" applyNumberFormat="1" applyBorder="1"/>
    <xf numFmtId="0" fontId="0" fillId="0" borderId="18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43" fontId="0" fillId="34" borderId="0" xfId="0" applyNumberFormat="1" applyFill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/>
    <xf numFmtId="2" fontId="0" fillId="35" borderId="0" xfId="0" applyNumberFormat="1" applyFill="1"/>
    <xf numFmtId="0" fontId="20" fillId="0" borderId="0" xfId="0" applyFont="1" applyAlignment="1">
      <alignment horizontal="center" vertical="center"/>
    </xf>
    <xf numFmtId="0" fontId="16" fillId="36" borderId="19" xfId="0" applyFont="1" applyFill="1" applyBorder="1"/>
    <xf numFmtId="43" fontId="0" fillId="0" borderId="0" xfId="0" applyNumberFormat="1"/>
    <xf numFmtId="43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9">
    <dxf>
      <numFmt numFmtId="35" formatCode="_ * #,##0.00_ ;_ * \-#,##0.00_ ;_ * &quot;-&quot;??_ ;_ @_ "/>
    </dxf>
    <dxf>
      <numFmt numFmtId="168" formatCode="0.000000"/>
    </dxf>
    <dxf>
      <numFmt numFmtId="2" formatCode="0.00"/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</dxf>
    <dxf>
      <fill>
        <patternFill patternType="solid">
          <fgColor indexed="64"/>
          <bgColor theme="3" tint="0.89999084444715716"/>
        </patternFill>
      </fill>
    </dxf>
    <dxf>
      <fill>
        <patternFill>
          <fgColor theme="9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numFmt numFmtId="35" formatCode="_ * #,##0.00_ ;_ * \-#,##0.00_ ;_ * &quot;-&quot;??_ ;_ @_ "/>
    </dxf>
    <dxf>
      <fill>
        <patternFill patternType="solid">
          <fgColor indexed="64"/>
          <bgColor theme="8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8" tint="0.59999389629810485"/>
        </patternFill>
      </fill>
    </dxf>
    <dxf>
      <numFmt numFmtId="165" formatCode="#,##0.00_ ;\-#,##0.00\ "/>
    </dxf>
    <dxf>
      <numFmt numFmtId="164" formatCode="_ * #,##0_ ;_ * \-#,##0_ ;_ * &quot;-&quot;??_ ;_ @_ 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/>
        <vertAlign val="baseline"/>
        <sz val="11"/>
        <color theme="5" tint="-0.24997711111789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fill>
        <patternFill>
          <fgColor indexed="64"/>
          <bgColor theme="8" tint="0.59999389629810485"/>
        </patternFill>
      </fill>
    </dxf>
    <dxf>
      <numFmt numFmtId="35" formatCode="_ * #,##0.00_ ;_ * \-#,##0.00_ ;_ * &quot;-&quot;??_ ;_ @_ 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>
          <fgColor theme="8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[Hospital_Data Insight.xlsx]highest_medical-burden!PivotTable1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'highest_medical-burden'!$B$2</c:f>
              <c:strCache>
                <c:ptCount val="1"/>
                <c:pt idx="0">
                  <c:v>Sum of Patients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'highest_medical-burden'!$A$3:$A$13</c:f>
              <c:strCache>
                <c:ptCount val="10"/>
                <c:pt idx="0">
                  <c:v>Ahmedabad</c:v>
                </c:pt>
                <c:pt idx="1">
                  <c:v>Jaipur</c:v>
                </c:pt>
                <c:pt idx="2">
                  <c:v>Chennai</c:v>
                </c:pt>
                <c:pt idx="3">
                  <c:v>Pune</c:v>
                </c:pt>
                <c:pt idx="4">
                  <c:v>Lucknow</c:v>
                </c:pt>
                <c:pt idx="5">
                  <c:v>Hyderabad</c:v>
                </c:pt>
                <c:pt idx="6">
                  <c:v>Bangalore</c:v>
                </c:pt>
                <c:pt idx="7">
                  <c:v>Delhi</c:v>
                </c:pt>
                <c:pt idx="8">
                  <c:v>Mumbai</c:v>
                </c:pt>
                <c:pt idx="9">
                  <c:v>Kolkata</c:v>
                </c:pt>
              </c:strCache>
            </c:strRef>
          </c:cat>
          <c:val>
            <c:numRef>
              <c:f>'highest_medical-burden'!$B$3:$B$13</c:f>
              <c:numCache>
                <c:formatCode>_(* #,##0.00_);_(* \(#,##0.00\);_(* "-"??_);_(@_)</c:formatCode>
                <c:ptCount val="10"/>
                <c:pt idx="0">
                  <c:v>1467</c:v>
                </c:pt>
                <c:pt idx="1">
                  <c:v>1505</c:v>
                </c:pt>
                <c:pt idx="2">
                  <c:v>840</c:v>
                </c:pt>
                <c:pt idx="3">
                  <c:v>555</c:v>
                </c:pt>
                <c:pt idx="4">
                  <c:v>1264</c:v>
                </c:pt>
                <c:pt idx="5">
                  <c:v>1261</c:v>
                </c:pt>
                <c:pt idx="6">
                  <c:v>955</c:v>
                </c:pt>
                <c:pt idx="7">
                  <c:v>421</c:v>
                </c:pt>
                <c:pt idx="8">
                  <c:v>483</c:v>
                </c:pt>
                <c:pt idx="9">
                  <c:v>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4-4EA5-B2EE-21438CC92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5322768"/>
        <c:axId val="1345318928"/>
      </c:barChart>
      <c:barChart>
        <c:barDir val="bar"/>
        <c:grouping val="clustered"/>
        <c:varyColors val="0"/>
        <c:ser>
          <c:idx val="1"/>
          <c:order val="1"/>
          <c:tx>
            <c:strRef>
              <c:f>'highest_medical-burden'!$C$2</c:f>
              <c:strCache>
                <c:ptCount val="1"/>
                <c:pt idx="0">
                  <c:v>Sum of Medical Expenses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'highest_medical-burden'!$A$3:$A$13</c:f>
              <c:strCache>
                <c:ptCount val="10"/>
                <c:pt idx="0">
                  <c:v>Ahmedabad</c:v>
                </c:pt>
                <c:pt idx="1">
                  <c:v>Jaipur</c:v>
                </c:pt>
                <c:pt idx="2">
                  <c:v>Chennai</c:v>
                </c:pt>
                <c:pt idx="3">
                  <c:v>Pune</c:v>
                </c:pt>
                <c:pt idx="4">
                  <c:v>Lucknow</c:v>
                </c:pt>
                <c:pt idx="5">
                  <c:v>Hyderabad</c:v>
                </c:pt>
                <c:pt idx="6">
                  <c:v>Bangalore</c:v>
                </c:pt>
                <c:pt idx="7">
                  <c:v>Delhi</c:v>
                </c:pt>
                <c:pt idx="8">
                  <c:v>Mumbai</c:v>
                </c:pt>
                <c:pt idx="9">
                  <c:v>Kolkata</c:v>
                </c:pt>
              </c:strCache>
            </c:strRef>
          </c:cat>
          <c:val>
            <c:numRef>
              <c:f>'highest_medical-burden'!$C$3:$C$13</c:f>
              <c:numCache>
                <c:formatCode>_(* #,##0.00_);_(* \(#,##0.00\);_(* "-"??_);_(@_)</c:formatCode>
                <c:ptCount val="10"/>
                <c:pt idx="0">
                  <c:v>523939.12</c:v>
                </c:pt>
                <c:pt idx="1">
                  <c:v>438315.39</c:v>
                </c:pt>
                <c:pt idx="2">
                  <c:v>269218.94</c:v>
                </c:pt>
                <c:pt idx="3">
                  <c:v>255671.15</c:v>
                </c:pt>
                <c:pt idx="4">
                  <c:v>243717.09</c:v>
                </c:pt>
                <c:pt idx="5">
                  <c:v>237268.53999999998</c:v>
                </c:pt>
                <c:pt idx="6">
                  <c:v>224814.8</c:v>
                </c:pt>
                <c:pt idx="7">
                  <c:v>197037.91999999998</c:v>
                </c:pt>
                <c:pt idx="8">
                  <c:v>163971.52000000002</c:v>
                </c:pt>
                <c:pt idx="9">
                  <c:v>163356.59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54-4EA5-B2EE-21438CC92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8155984"/>
        <c:axId val="1528160784"/>
      </c:barChart>
      <c:valAx>
        <c:axId val="134531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322768"/>
        <c:crosses val="autoZero"/>
        <c:crossBetween val="between"/>
      </c:valAx>
      <c:catAx>
        <c:axId val="134532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318928"/>
        <c:crosses val="autoZero"/>
        <c:auto val="1"/>
        <c:lblAlgn val="ctr"/>
        <c:lblOffset val="100"/>
        <c:noMultiLvlLbl val="0"/>
      </c:catAx>
      <c:valAx>
        <c:axId val="1528160784"/>
        <c:scaling>
          <c:orientation val="minMax"/>
        </c:scaling>
        <c:delete val="0"/>
        <c:axPos val="t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155984"/>
        <c:crosses val="max"/>
        <c:crossBetween val="between"/>
      </c:valAx>
      <c:catAx>
        <c:axId val="15281559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281607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[Hospital_Data Insight.xlsx]month_expense!PivotTable7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Monthly Medical Expenses Trend 2023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month_expense!$H$2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month_expense!$G$3:$G$15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month_expense!$H$3:$H$15</c:f>
              <c:numCache>
                <c:formatCode>General</c:formatCode>
                <c:ptCount val="12"/>
                <c:pt idx="0">
                  <c:v>173971.54</c:v>
                </c:pt>
                <c:pt idx="1">
                  <c:v>301722.71999999997</c:v>
                </c:pt>
                <c:pt idx="2">
                  <c:v>199247.42</c:v>
                </c:pt>
                <c:pt idx="3">
                  <c:v>88995.93</c:v>
                </c:pt>
                <c:pt idx="4">
                  <c:v>222986.71999999997</c:v>
                </c:pt>
                <c:pt idx="5">
                  <c:v>165926.36000000002</c:v>
                </c:pt>
                <c:pt idx="6">
                  <c:v>211527.13</c:v>
                </c:pt>
                <c:pt idx="7">
                  <c:v>181039.55</c:v>
                </c:pt>
                <c:pt idx="8">
                  <c:v>341284.23</c:v>
                </c:pt>
                <c:pt idx="9">
                  <c:v>158450.68</c:v>
                </c:pt>
                <c:pt idx="10">
                  <c:v>334370.33</c:v>
                </c:pt>
                <c:pt idx="11">
                  <c:v>337788.45000000007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21-4095-AEBE-26A57B723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528171824"/>
        <c:axId val="1528170384"/>
      </c:lineChart>
      <c:catAx>
        <c:axId val="1528171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months</a:t>
                </a:r>
              </a:p>
            </c:rich>
          </c:tx>
          <c:layout>
            <c:manualLayout>
              <c:xMode val="edge"/>
              <c:yMode val="edge"/>
              <c:x val="0.45236498509720185"/>
              <c:y val="0.915186247512568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170384"/>
        <c:crosses val="autoZero"/>
        <c:auto val="1"/>
        <c:lblAlgn val="ctr"/>
        <c:lblOffset val="100"/>
        <c:noMultiLvlLbl val="0"/>
      </c:catAx>
      <c:valAx>
        <c:axId val="1528170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Medical</a:t>
                </a:r>
                <a:r>
                  <a:rPr lang="en-IN" b="1" baseline="0"/>
                  <a:t> expenses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1.1299435028248588E-2"/>
              <c:y val="0.303095156186700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17182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[Hospital_Data Insight.xlsx]Avg_stay-dep!PivotTable2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Avg</a:t>
            </a:r>
            <a:r>
              <a:rPr lang="en-IN" baseline="0">
                <a:solidFill>
                  <a:schemeClr val="tx1"/>
                </a:solidFill>
              </a:rPr>
              <a:t> Stays Duration (days)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'Avg_stay-dep'!$B$2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'Avg_stay-dep'!$A$3:$A$13</c:f>
              <c:strCache>
                <c:ptCount val="10"/>
                <c:pt idx="0">
                  <c:v>Neurology</c:v>
                </c:pt>
                <c:pt idx="1">
                  <c:v>Pediatrics</c:v>
                </c:pt>
                <c:pt idx="2">
                  <c:v>Urology</c:v>
                </c:pt>
                <c:pt idx="3">
                  <c:v>Oncology</c:v>
                </c:pt>
                <c:pt idx="4">
                  <c:v>ENT</c:v>
                </c:pt>
                <c:pt idx="5">
                  <c:v>Gynecology</c:v>
                </c:pt>
                <c:pt idx="6">
                  <c:v>General Medicine</c:v>
                </c:pt>
                <c:pt idx="7">
                  <c:v>Orthopedics</c:v>
                </c:pt>
                <c:pt idx="8">
                  <c:v>Cardiology</c:v>
                </c:pt>
                <c:pt idx="9">
                  <c:v>Dermatology</c:v>
                </c:pt>
              </c:strCache>
            </c:strRef>
          </c:cat>
          <c:val>
            <c:numRef>
              <c:f>'Avg_stay-dep'!$B$3:$B$13</c:f>
              <c:numCache>
                <c:formatCode>0.00</c:formatCode>
                <c:ptCount val="10"/>
                <c:pt idx="0">
                  <c:v>9.25</c:v>
                </c:pt>
                <c:pt idx="1">
                  <c:v>9.1111111111111107</c:v>
                </c:pt>
                <c:pt idx="2">
                  <c:v>8.7222222222222214</c:v>
                </c:pt>
                <c:pt idx="3">
                  <c:v>8.1111111111111107</c:v>
                </c:pt>
                <c:pt idx="4">
                  <c:v>8.0833333333333339</c:v>
                </c:pt>
                <c:pt idx="5">
                  <c:v>7.666666666666667</c:v>
                </c:pt>
                <c:pt idx="6">
                  <c:v>7.4285714285714288</c:v>
                </c:pt>
                <c:pt idx="7">
                  <c:v>7.1428571428571432</c:v>
                </c:pt>
                <c:pt idx="8">
                  <c:v>6.8571428571428568</c:v>
                </c:pt>
                <c:pt idx="9">
                  <c:v>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5-4197-9467-76A75E5EA3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1546607"/>
        <c:axId val="71541327"/>
      </c:barChart>
      <c:catAx>
        <c:axId val="7154660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41327"/>
        <c:crosses val="autoZero"/>
        <c:auto val="1"/>
        <c:lblAlgn val="ctr"/>
        <c:lblOffset val="100"/>
        <c:noMultiLvlLbl val="0"/>
      </c:catAx>
      <c:valAx>
        <c:axId val="7154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4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Patients v/s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'patients v|s Expenses'!$F$2</c:f>
              <c:strCache>
                <c:ptCount val="1"/>
                <c:pt idx="0">
                  <c:v>Sum of Medical Expenses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'patients v|s Expenses'!$E$3:$E$12</c:f>
              <c:numCache>
                <c:formatCode>General</c:formatCode>
                <c:ptCount val="10"/>
                <c:pt idx="0">
                  <c:v>1467</c:v>
                </c:pt>
                <c:pt idx="1">
                  <c:v>955</c:v>
                </c:pt>
                <c:pt idx="2">
                  <c:v>840</c:v>
                </c:pt>
                <c:pt idx="3">
                  <c:v>421</c:v>
                </c:pt>
                <c:pt idx="4">
                  <c:v>1261</c:v>
                </c:pt>
                <c:pt idx="5">
                  <c:v>1505</c:v>
                </c:pt>
                <c:pt idx="6">
                  <c:v>596</c:v>
                </c:pt>
                <c:pt idx="7">
                  <c:v>1264</c:v>
                </c:pt>
                <c:pt idx="8">
                  <c:v>483</c:v>
                </c:pt>
                <c:pt idx="9">
                  <c:v>555</c:v>
                </c:pt>
              </c:numCache>
            </c:numRef>
          </c:xVal>
          <c:yVal>
            <c:numRef>
              <c:f>'patients v|s Expenses'!$F$3:$F$12</c:f>
              <c:numCache>
                <c:formatCode>_(* #,##0.00_);_(* \(#,##0.00\);_(* "-"??_);_(@_)</c:formatCode>
                <c:ptCount val="10"/>
                <c:pt idx="0">
                  <c:v>523939.12</c:v>
                </c:pt>
                <c:pt idx="1">
                  <c:v>224814.8</c:v>
                </c:pt>
                <c:pt idx="2">
                  <c:v>269218.94</c:v>
                </c:pt>
                <c:pt idx="3">
                  <c:v>197037.91999999998</c:v>
                </c:pt>
                <c:pt idx="4">
                  <c:v>237268.53999999998</c:v>
                </c:pt>
                <c:pt idx="5">
                  <c:v>438315.39</c:v>
                </c:pt>
                <c:pt idx="6">
                  <c:v>163356.59</c:v>
                </c:pt>
                <c:pt idx="7">
                  <c:v>243717.09</c:v>
                </c:pt>
                <c:pt idx="8">
                  <c:v>163971.52000000002</c:v>
                </c:pt>
                <c:pt idx="9">
                  <c:v>255671.15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C3-43C8-B3EC-BF6F95027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014719"/>
        <c:axId val="379015679"/>
      </c:scatterChart>
      <c:valAx>
        <c:axId val="37901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Patients</a:t>
                </a:r>
              </a:p>
            </c:rich>
          </c:tx>
          <c:layout>
            <c:manualLayout>
              <c:xMode val="edge"/>
              <c:yMode val="edge"/>
              <c:x val="0.49056827570901379"/>
              <c:y val="0.96221750933349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015679"/>
        <c:crosses val="autoZero"/>
        <c:crossBetween val="midCat"/>
      </c:valAx>
      <c:valAx>
        <c:axId val="37901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Medical  Expenses</a:t>
                </a:r>
              </a:p>
            </c:rich>
          </c:tx>
          <c:layout>
            <c:manualLayout>
              <c:xMode val="edge"/>
              <c:yMode val="edge"/>
              <c:x val="1.7382365863570042E-2"/>
              <c:y val="0.369053687521005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01471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190499</xdr:rowOff>
    </xdr:from>
    <xdr:to>
      <xdr:col>3</xdr:col>
      <xdr:colOff>19049</xdr:colOff>
      <xdr:row>26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C8B03C-C61F-BD77-F298-41DFCD3FC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45720</xdr:rowOff>
    </xdr:from>
    <xdr:to>
      <xdr:col>8</xdr:col>
      <xdr:colOff>0</xdr:colOff>
      <xdr:row>24</xdr:row>
      <xdr:rowOff>79057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036668-DA20-D62C-C4D6-9E7AC932A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145775</xdr:colOff>
      <xdr:row>0</xdr:row>
      <xdr:rowOff>0</xdr:rowOff>
    </xdr:from>
    <xdr:to>
      <xdr:col>9</xdr:col>
      <xdr:colOff>410818</xdr:colOff>
      <xdr:row>13</xdr:row>
      <xdr:rowOff>39757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AA2599-16D5-64F7-7287-41AC9F4F8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84772</xdr:colOff>
      <xdr:row>0</xdr:row>
      <xdr:rowOff>0</xdr:rowOff>
    </xdr:from>
    <xdr:to>
      <xdr:col>14</xdr:col>
      <xdr:colOff>333374</xdr:colOff>
      <xdr:row>29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E880FE-8AFD-D57B-FE95-B606C4C53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d" refreshedDate="46101.555623611108" createdVersion="8" refreshedVersion="8" minRefreshableVersion="3" recordCount="100" xr:uid="{3D5BE67F-F46B-4D47-968F-6FE2A9FE0A78}">
  <cacheSource type="worksheet">
    <worksheetSource ref="A1:H101" sheet="Hospital_Data (1)"/>
  </cacheSource>
  <cacheFields count="14">
    <cacheField name="Hospital Name" numFmtId="0">
      <sharedItems count="10">
        <s v="Wellness Clinic"/>
        <s v="Fortis Care"/>
        <s v="Heritage Hospital"/>
        <s v="City Hospital"/>
        <s v="Global Medicare"/>
        <s v="Apollo Health"/>
        <s v="Green Valley Hospital"/>
        <s v="Healing Touch"/>
        <s v="Sunrise Medical"/>
        <s v="Metro Hospital"/>
      </sharedItems>
    </cacheField>
    <cacheField name="Location" numFmtId="0">
      <sharedItems count="10">
        <s v="Chennai"/>
        <s v="Pune"/>
        <s v="Ahmedabad"/>
        <s v="Hyderabad"/>
        <s v="Kolkata"/>
        <s v="Jaipur"/>
        <s v="Mumbai"/>
        <s v="Lucknow"/>
        <s v="Delhi"/>
        <s v="Bangalore"/>
      </sharedItems>
    </cacheField>
    <cacheField name="Department" numFmtId="0">
      <sharedItems count="10">
        <s v="Orthopedics"/>
        <s v="ENT"/>
        <s v="Pediatrics"/>
        <s v="Urology"/>
        <s v="Gynecology"/>
        <s v="Oncology"/>
        <s v="General Medicine"/>
        <s v="Dermatology"/>
        <s v="Cardiology"/>
        <s v="Neurology"/>
      </sharedItems>
    </cacheField>
    <cacheField name="Doctors Count" numFmtId="0">
      <sharedItems containsSemiMixedTypes="0" containsString="0" containsNumber="1" containsInteger="1" minValue="5" maxValue="49"/>
    </cacheField>
    <cacheField name="Patients Count" numFmtId="0">
      <sharedItems containsSemiMixedTypes="0" containsString="0" containsNumber="1" containsInteger="1" minValue="20" maxValue="198"/>
    </cacheField>
    <cacheField name="Admission Date" numFmtId="14">
      <sharedItems containsSemiMixedTypes="0" containsNonDate="0" containsDate="1" containsString="0" minDate="2023-01-11T00:00:00" maxDate="2023-12-31T00:00:00" count="86">
        <d v="2023-12-13T00:00:00"/>
        <d v="2023-12-29T00:00:00"/>
        <d v="2023-10-07T00:00:00"/>
        <d v="2023-04-29T00:00:00"/>
        <d v="2023-02-10T00:00:00"/>
        <d v="2023-02-05T00:00:00"/>
        <d v="2023-08-01T00:00:00"/>
        <d v="2023-10-01T00:00:00"/>
        <d v="2023-06-12T00:00:00"/>
        <d v="2023-12-07T00:00:00"/>
        <d v="2023-09-13T00:00:00"/>
        <d v="2023-03-12T00:00:00"/>
        <d v="2023-11-18T00:00:00"/>
        <d v="2023-09-18T00:00:00"/>
        <d v="2023-08-06T00:00:00"/>
        <d v="2023-06-27T00:00:00"/>
        <d v="2023-03-22T00:00:00"/>
        <d v="2023-11-11T00:00:00"/>
        <d v="2023-11-05T00:00:00"/>
        <d v="2023-02-14T00:00:00"/>
        <d v="2023-10-06T00:00:00"/>
        <d v="2023-04-08T00:00:00"/>
        <d v="2023-10-28T00:00:00"/>
        <d v="2023-03-25T00:00:00"/>
        <d v="2023-02-24T00:00:00"/>
        <d v="2023-11-09T00:00:00"/>
        <d v="2023-04-06T00:00:00"/>
        <d v="2023-05-05T00:00:00"/>
        <d v="2023-09-25T00:00:00"/>
        <d v="2023-05-12T00:00:00"/>
        <d v="2023-09-19T00:00:00"/>
        <d v="2023-08-21T00:00:00"/>
        <d v="2023-07-01T00:00:00"/>
        <d v="2023-06-07T00:00:00"/>
        <d v="2023-02-13T00:00:00"/>
        <d v="2023-01-20T00:00:00"/>
        <d v="2023-10-23T00:00:00"/>
        <d v="2023-05-27T00:00:00"/>
        <d v="2023-12-16T00:00:00"/>
        <d v="2023-06-09T00:00:00"/>
        <d v="2023-09-10T00:00:00"/>
        <d v="2023-11-13T00:00:00"/>
        <d v="2023-05-15T00:00:00"/>
        <d v="2023-07-10T00:00:00"/>
        <d v="2023-03-26T00:00:00"/>
        <d v="2023-11-10T00:00:00"/>
        <d v="2023-08-13T00:00:00"/>
        <d v="2023-03-29T00:00:00"/>
        <d v="2023-06-21T00:00:00"/>
        <d v="2023-12-30T00:00:00"/>
        <d v="2023-01-18T00:00:00"/>
        <d v="2023-02-07T00:00:00"/>
        <d v="2023-06-23T00:00:00"/>
        <d v="2023-05-17T00:00:00"/>
        <d v="2023-12-28T00:00:00"/>
        <d v="2023-06-22T00:00:00"/>
        <d v="2023-06-06T00:00:00"/>
        <d v="2023-07-28T00:00:00"/>
        <d v="2023-07-20T00:00:00"/>
        <d v="2023-12-17T00:00:00"/>
        <d v="2023-02-08T00:00:00"/>
        <d v="2023-08-09T00:00:00"/>
        <d v="2023-03-31T00:00:00"/>
        <d v="2023-10-22T00:00:00"/>
        <d v="2023-02-20T00:00:00"/>
        <d v="2023-09-21T00:00:00"/>
        <d v="2023-08-02T00:00:00"/>
        <d v="2023-01-11T00:00:00"/>
        <d v="2023-09-04T00:00:00"/>
        <d v="2023-08-18T00:00:00"/>
        <d v="2023-05-01T00:00:00"/>
        <d v="2023-01-16T00:00:00"/>
        <d v="2023-02-04T00:00:00"/>
        <d v="2023-06-30T00:00:00"/>
        <d v="2023-11-14T00:00:00"/>
        <d v="2023-10-16T00:00:00"/>
        <d v="2023-04-17T00:00:00"/>
        <d v="2023-07-11T00:00:00"/>
        <d v="2023-09-29T00:00:00"/>
        <d v="2023-01-27T00:00:00"/>
        <d v="2023-03-07T00:00:00"/>
        <d v="2023-11-29T00:00:00"/>
        <d v="2023-02-18T00:00:00"/>
        <d v="2023-11-01T00:00:00"/>
        <d v="2023-05-19T00:00:00"/>
        <d v="2023-12-09T00:00:00"/>
      </sharedItems>
      <fieldGroup par="9"/>
    </cacheField>
    <cacheField name="Discharge Date" numFmtId="14">
      <sharedItems containsSemiMixedTypes="0" containsNonDate="0" containsDate="1" containsString="0" minDate="2023-01-25T00:00:00" maxDate="2024-01-14T00:00:00" count="87">
        <d v="2023-12-14T00:00:00"/>
        <d v="2024-01-09T00:00:00"/>
        <d v="2023-10-21T00:00:00"/>
        <d v="2023-05-11T00:00:00"/>
        <d v="2023-02-12T00:00:00"/>
        <d v="2023-02-17T00:00:00"/>
        <d v="2023-08-06T00:00:00"/>
        <d v="2023-10-12T00:00:00"/>
        <d v="2023-06-18T00:00:00"/>
        <d v="2023-12-08T00:00:00"/>
        <d v="2023-09-15T00:00:00"/>
        <d v="2023-03-25T00:00:00"/>
        <d v="2023-11-24T00:00:00"/>
        <d v="2023-09-24T00:00:00"/>
        <d v="2023-08-11T00:00:00"/>
        <d v="2023-06-30T00:00:00"/>
        <d v="2023-03-28T00:00:00"/>
        <d v="2023-11-22T00:00:00"/>
        <d v="2023-11-08T00:00:00"/>
        <d v="2023-02-18T00:00:00"/>
        <d v="2023-10-07T00:00:00"/>
        <d v="2023-04-22T00:00:00"/>
        <d v="2023-10-30T00:00:00"/>
        <d v="2023-03-29T00:00:00"/>
        <d v="2023-03-04T00:00:00"/>
        <d v="2023-11-16T00:00:00"/>
        <d v="2023-04-21T00:00:00"/>
        <d v="2023-05-10T00:00:00"/>
        <d v="2023-09-29T00:00:00"/>
        <d v="2023-05-21T00:00:00"/>
        <d v="2023-09-20T00:00:00"/>
        <d v="2023-08-28T00:00:00"/>
        <d v="2023-07-15T00:00:00"/>
        <d v="2023-06-17T00:00:00"/>
        <d v="2023-02-28T00:00:00"/>
        <d v="2023-01-26T00:00:00"/>
        <d v="2023-10-26T00:00:00"/>
        <d v="2023-05-29T00:00:00"/>
        <d v="2023-12-25T00:00:00"/>
        <d v="2023-06-16T00:00:00"/>
        <d v="2024-01-10T00:00:00"/>
        <d v="2023-11-26T00:00:00"/>
        <d v="2023-05-18T00:00:00"/>
        <d v="2023-07-24T00:00:00"/>
        <d v="2023-11-25T00:00:00"/>
        <d v="2023-08-17T00:00:00"/>
        <d v="2023-04-08T00:00:00"/>
        <d v="2023-07-05T00:00:00"/>
        <d v="2024-01-12T00:00:00"/>
        <d v="2023-02-02T00:00:00"/>
        <d v="2023-02-13T00:00:00"/>
        <d v="2023-07-01T00:00:00"/>
        <d v="2023-05-31T00:00:00"/>
        <d v="2024-01-07T00:00:00"/>
        <d v="2023-09-19T00:00:00"/>
        <d v="2023-06-27T00:00:00"/>
        <d v="2024-01-13T00:00:00"/>
        <d v="2023-11-13T00:00:00"/>
        <d v="2023-06-11T00:00:00"/>
        <d v="2023-08-04T00:00:00"/>
        <d v="2023-08-03T00:00:00"/>
        <d v="2023-12-30T00:00:00"/>
        <d v="2023-02-22T00:00:00"/>
        <d v="2023-08-19T00:00:00"/>
        <d v="2023-04-05T00:00:00"/>
        <d v="2023-11-05T00:00:00"/>
        <d v="2023-12-20T00:00:00"/>
        <d v="2023-03-06T00:00:00"/>
        <d v="2023-10-06T00:00:00"/>
        <d v="2023-08-07T00:00:00"/>
        <d v="2023-08-27T00:00:00"/>
        <d v="2023-05-02T00:00:00"/>
        <d v="2023-04-20T00:00:00"/>
        <d v="2023-01-25T00:00:00"/>
        <d v="2023-02-05T00:00:00"/>
        <d v="2023-06-09T00:00:00"/>
        <d v="2023-07-02T00:00:00"/>
        <d v="2023-11-21T00:00:00"/>
        <d v="2023-10-28T00:00:00"/>
        <d v="2023-10-01T00:00:00"/>
        <d v="2023-02-11T00:00:00"/>
        <d v="2023-03-18T00:00:00"/>
        <d v="2023-12-10T00:00:00"/>
        <d v="2023-02-19T00:00:00"/>
        <d v="2023-11-15T00:00:00"/>
        <d v="2023-05-26T00:00:00"/>
        <d v="2023-12-15T00:00:00"/>
      </sharedItems>
      <fieldGroup par="12"/>
    </cacheField>
    <cacheField name="Medical Expenses" numFmtId="0">
      <sharedItems containsSemiMixedTypes="0" containsString="0" containsNumber="1" minValue="2854.22" maxValue="49955.41"/>
    </cacheField>
    <cacheField name="Days (Admission Date)" numFmtId="0" databaseField="0">
      <fieldGroup base="5">
        <rangePr groupBy="days" startDate="2023-01-11T00:00:00" endDate="2023-12-31T00:00:00"/>
        <groupItems count="368">
          <s v="&lt;1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023"/>
        </groupItems>
      </fieldGroup>
    </cacheField>
    <cacheField name="Months (Admission Date)" numFmtId="0" databaseField="0">
      <fieldGroup base="5">
        <rangePr groupBy="months" startDate="2023-01-11T00:00:00" endDate="2023-12-31T00:00:00"/>
        <groupItems count="14">
          <s v="&lt;1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3"/>
        </groupItems>
      </fieldGroup>
    </cacheField>
    <cacheField name="Months (Discharge Date)" numFmtId="0" databaseField="0">
      <fieldGroup base="6">
        <rangePr groupBy="months" startDate="2023-01-25T00:00:00" endDate="2024-01-14T00:00:00"/>
        <groupItems count="14">
          <s v="&lt;25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-01-2024"/>
        </groupItems>
      </fieldGroup>
    </cacheField>
    <cacheField name="Quarters (Discharge Date)" numFmtId="0" databaseField="0">
      <fieldGroup base="6">
        <rangePr groupBy="quarters" startDate="2023-01-25T00:00:00" endDate="2024-01-14T00:00:00"/>
        <groupItems count="6">
          <s v="&lt;25-01-2023"/>
          <s v="Qtr1"/>
          <s v="Qtr2"/>
          <s v="Qtr3"/>
          <s v="Qtr4"/>
          <s v="&gt;14-01-2024"/>
        </groupItems>
      </fieldGroup>
    </cacheField>
    <cacheField name="Years (Discharge Date)" numFmtId="0" databaseField="0">
      <fieldGroup base="6">
        <rangePr groupBy="years" startDate="2023-01-25T00:00:00" endDate="2024-01-14T00:00:00"/>
        <groupItems count="4">
          <s v="&lt;25-01-2023"/>
          <s v="2023"/>
          <s v="2024"/>
          <s v="&gt;14-01-2024"/>
        </groupItems>
      </fieldGroup>
    </cacheField>
    <cacheField name="Cost Per Patients" numFmtId="0" formula="'Medical Expenses'/'Patients Count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03.535218750003" createdVersion="8" refreshedVersion="8" minRefreshableVersion="3" recordCount="100" xr:uid="{3E51D901-6332-4220-8975-0AA254631181}">
  <cacheSource type="worksheet">
    <worksheetSource name="table1"/>
  </cacheSource>
  <cacheFields count="9">
    <cacheField name="Hospital Name" numFmtId="0">
      <sharedItems count="10">
        <s v="Wellness Clinic"/>
        <s v="Fortis Care"/>
        <s v="Heritage Hospital"/>
        <s v="City Hospital"/>
        <s v="Global Medicare"/>
        <s v="Apollo Health"/>
        <s v="Green Valley Hospital"/>
        <s v="Healing Touch"/>
        <s v="Sunrise Medical"/>
        <s v="Metro Hospital"/>
      </sharedItems>
    </cacheField>
    <cacheField name="Location" numFmtId="0">
      <sharedItems count="10">
        <s v="Chennai"/>
        <s v="Pune"/>
        <s v="Ahmedabad"/>
        <s v="Hyderabad"/>
        <s v="Kolkata"/>
        <s v="Jaipur"/>
        <s v="Mumbai"/>
        <s v="Lucknow"/>
        <s v="Delhi"/>
        <s v="Bangalore"/>
      </sharedItems>
    </cacheField>
    <cacheField name="Department" numFmtId="0">
      <sharedItems count="10">
        <s v="Orthopedics"/>
        <s v="ENT"/>
        <s v="Pediatrics"/>
        <s v="Urology"/>
        <s v="Gynecology"/>
        <s v="Oncology"/>
        <s v="General Medicine"/>
        <s v="Dermatology"/>
        <s v="Cardiology"/>
        <s v="Neurology"/>
      </sharedItems>
    </cacheField>
    <cacheField name="Doctors Count" numFmtId="0">
      <sharedItems containsSemiMixedTypes="0" containsString="0" containsNumber="1" containsInteger="1" minValue="5" maxValue="49"/>
    </cacheField>
    <cacheField name="Patients Count" numFmtId="0">
      <sharedItems containsSemiMixedTypes="0" containsString="0" containsNumber="1" containsInteger="1" minValue="20" maxValue="198" count="81">
        <n v="182"/>
        <n v="51"/>
        <n v="120"/>
        <n v="172"/>
        <n v="76"/>
        <n v="99"/>
        <n v="173"/>
        <n v="198"/>
        <n v="107"/>
        <n v="70"/>
        <n v="38"/>
        <n v="67"/>
        <n v="60"/>
        <n v="37"/>
        <n v="96"/>
        <n v="68"/>
        <n v="111"/>
        <n v="154"/>
        <n v="191"/>
        <n v="116"/>
        <n v="79"/>
        <n v="91"/>
        <n v="59"/>
        <n v="171"/>
        <n v="39"/>
        <n v="55"/>
        <n v="88"/>
        <n v="69"/>
        <n v="94"/>
        <n v="139"/>
        <n v="62"/>
        <n v="133"/>
        <n v="84"/>
        <n v="40"/>
        <n v="23"/>
        <n v="166"/>
        <n v="85"/>
        <n v="167"/>
        <n v="61"/>
        <n v="22"/>
        <n v="26"/>
        <n v="112"/>
        <n v="161"/>
        <n v="177"/>
        <n v="158"/>
        <n v="65"/>
        <n v="75"/>
        <n v="109"/>
        <n v="47"/>
        <n v="134"/>
        <n v="42"/>
        <n v="138"/>
        <n v="58"/>
        <n v="50"/>
        <n v="66"/>
        <n v="122"/>
        <n v="57"/>
        <n v="41"/>
        <n v="54"/>
        <n v="102"/>
        <n v="27"/>
        <n v="110"/>
        <n v="31"/>
        <n v="56"/>
        <n v="194"/>
        <n v="150"/>
        <n v="108"/>
        <n v="29"/>
        <n v="151"/>
        <n v="131"/>
        <n v="106"/>
        <n v="25"/>
        <n v="20"/>
        <n v="48"/>
        <n v="152"/>
        <n v="43"/>
        <n v="77"/>
        <n v="126"/>
        <n v="169"/>
        <n v="193"/>
        <n v="163"/>
      </sharedItems>
    </cacheField>
    <cacheField name="Admission Date" numFmtId="14">
      <sharedItems containsSemiMixedTypes="0" containsNonDate="0" containsDate="1" containsString="0" minDate="2023-01-11T00:00:00" maxDate="2023-12-31T00:00:00"/>
    </cacheField>
    <cacheField name="Discharge Date" numFmtId="14">
      <sharedItems containsSemiMixedTypes="0" containsNonDate="0" containsDate="1" containsString="0" minDate="2023-01-25T00:00:00" maxDate="2024-01-14T00:00:00"/>
    </cacheField>
    <cacheField name="Medical Expenses" numFmtId="0">
      <sharedItems containsSemiMixedTypes="0" containsString="0" containsNumber="1" minValue="2854.22" maxValue="49955.41"/>
    </cacheField>
    <cacheField name="Stay Duration" numFmtId="0">
      <sharedItems containsSemiMixedTypes="0" containsString="0" containsNumber="1" containsInteger="1" minValue="1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n v="47"/>
    <n v="182"/>
    <x v="0"/>
    <x v="0"/>
    <n v="31364.880000000001"/>
  </r>
  <r>
    <x v="1"/>
    <x v="1"/>
    <x v="1"/>
    <n v="15"/>
    <n v="51"/>
    <x v="1"/>
    <x v="1"/>
    <n v="47280.19"/>
  </r>
  <r>
    <x v="0"/>
    <x v="2"/>
    <x v="2"/>
    <n v="20"/>
    <n v="120"/>
    <x v="2"/>
    <x v="2"/>
    <n v="28574.720000000001"/>
  </r>
  <r>
    <x v="2"/>
    <x v="3"/>
    <x v="3"/>
    <n v="8"/>
    <n v="172"/>
    <x v="3"/>
    <x v="3"/>
    <n v="7000.83"/>
  </r>
  <r>
    <x v="3"/>
    <x v="4"/>
    <x v="4"/>
    <n v="35"/>
    <n v="76"/>
    <x v="4"/>
    <x v="4"/>
    <n v="47210.46"/>
  </r>
  <r>
    <x v="2"/>
    <x v="3"/>
    <x v="5"/>
    <n v="11"/>
    <n v="76"/>
    <x v="5"/>
    <x v="5"/>
    <n v="18612.34"/>
  </r>
  <r>
    <x v="4"/>
    <x v="2"/>
    <x v="5"/>
    <n v="22"/>
    <n v="99"/>
    <x v="6"/>
    <x v="6"/>
    <n v="47808.55"/>
  </r>
  <r>
    <x v="5"/>
    <x v="5"/>
    <x v="6"/>
    <n v="37"/>
    <n v="173"/>
    <x v="7"/>
    <x v="7"/>
    <n v="12284.65"/>
  </r>
  <r>
    <x v="2"/>
    <x v="5"/>
    <x v="1"/>
    <n v="9"/>
    <n v="198"/>
    <x v="8"/>
    <x v="8"/>
    <n v="14650.23"/>
  </r>
  <r>
    <x v="6"/>
    <x v="1"/>
    <x v="2"/>
    <n v="30"/>
    <n v="107"/>
    <x v="9"/>
    <x v="9"/>
    <n v="30006.959999999999"/>
  </r>
  <r>
    <x v="7"/>
    <x v="6"/>
    <x v="7"/>
    <n v="39"/>
    <n v="70"/>
    <x v="10"/>
    <x v="10"/>
    <n v="13282.51"/>
  </r>
  <r>
    <x v="1"/>
    <x v="5"/>
    <x v="3"/>
    <n v="22"/>
    <n v="38"/>
    <x v="11"/>
    <x v="11"/>
    <n v="13481.9"/>
  </r>
  <r>
    <x v="3"/>
    <x v="7"/>
    <x v="8"/>
    <n v="32"/>
    <n v="67"/>
    <x v="12"/>
    <x v="12"/>
    <n v="36748.42"/>
  </r>
  <r>
    <x v="1"/>
    <x v="5"/>
    <x v="0"/>
    <n v="27"/>
    <n v="60"/>
    <x v="13"/>
    <x v="13"/>
    <n v="37056.51"/>
  </r>
  <r>
    <x v="8"/>
    <x v="2"/>
    <x v="4"/>
    <n v="48"/>
    <n v="37"/>
    <x v="14"/>
    <x v="14"/>
    <n v="15107.89"/>
  </r>
  <r>
    <x v="7"/>
    <x v="0"/>
    <x v="8"/>
    <n v="17"/>
    <n v="60"/>
    <x v="15"/>
    <x v="15"/>
    <n v="9348.5499999999993"/>
  </r>
  <r>
    <x v="6"/>
    <x v="0"/>
    <x v="2"/>
    <n v="40"/>
    <n v="96"/>
    <x v="16"/>
    <x v="16"/>
    <n v="48548.44"/>
  </r>
  <r>
    <x v="7"/>
    <x v="2"/>
    <x v="9"/>
    <n v="14"/>
    <n v="68"/>
    <x v="17"/>
    <x v="17"/>
    <n v="29942.75"/>
  </r>
  <r>
    <x v="5"/>
    <x v="8"/>
    <x v="3"/>
    <n v="41"/>
    <n v="111"/>
    <x v="18"/>
    <x v="18"/>
    <n v="43367.53"/>
  </r>
  <r>
    <x v="1"/>
    <x v="6"/>
    <x v="3"/>
    <n v="46"/>
    <n v="154"/>
    <x v="19"/>
    <x v="19"/>
    <n v="41367.1"/>
  </r>
  <r>
    <x v="9"/>
    <x v="9"/>
    <x v="7"/>
    <n v="7"/>
    <n v="68"/>
    <x v="20"/>
    <x v="20"/>
    <n v="30136.26"/>
  </r>
  <r>
    <x v="5"/>
    <x v="3"/>
    <x v="7"/>
    <n v="28"/>
    <n v="191"/>
    <x v="21"/>
    <x v="21"/>
    <n v="17698.490000000002"/>
  </r>
  <r>
    <x v="1"/>
    <x v="2"/>
    <x v="5"/>
    <n v="32"/>
    <n v="116"/>
    <x v="22"/>
    <x v="22"/>
    <n v="40799.019999999997"/>
  </r>
  <r>
    <x v="5"/>
    <x v="3"/>
    <x v="0"/>
    <n v="5"/>
    <n v="79"/>
    <x v="23"/>
    <x v="23"/>
    <n v="20952.509999999998"/>
  </r>
  <r>
    <x v="3"/>
    <x v="7"/>
    <x v="5"/>
    <n v="48"/>
    <n v="91"/>
    <x v="24"/>
    <x v="24"/>
    <n v="10882.4"/>
  </r>
  <r>
    <x v="5"/>
    <x v="1"/>
    <x v="1"/>
    <n v="9"/>
    <n v="59"/>
    <x v="25"/>
    <x v="25"/>
    <n v="25177.79"/>
  </r>
  <r>
    <x v="5"/>
    <x v="7"/>
    <x v="1"/>
    <n v="9"/>
    <n v="171"/>
    <x v="26"/>
    <x v="26"/>
    <n v="21666.78"/>
  </r>
  <r>
    <x v="5"/>
    <x v="7"/>
    <x v="7"/>
    <n v="20"/>
    <n v="39"/>
    <x v="27"/>
    <x v="27"/>
    <n v="37856.699999999997"/>
  </r>
  <r>
    <x v="7"/>
    <x v="1"/>
    <x v="8"/>
    <n v="46"/>
    <n v="55"/>
    <x v="28"/>
    <x v="28"/>
    <n v="25298.5"/>
  </r>
  <r>
    <x v="3"/>
    <x v="3"/>
    <x v="7"/>
    <n v="7"/>
    <n v="88"/>
    <x v="29"/>
    <x v="29"/>
    <n v="28558.23"/>
  </r>
  <r>
    <x v="4"/>
    <x v="0"/>
    <x v="7"/>
    <n v="36"/>
    <n v="69"/>
    <x v="30"/>
    <x v="30"/>
    <n v="44452.26"/>
  </r>
  <r>
    <x v="7"/>
    <x v="6"/>
    <x v="9"/>
    <n v="20"/>
    <n v="94"/>
    <x v="31"/>
    <x v="31"/>
    <n v="49955.41"/>
  </r>
  <r>
    <x v="6"/>
    <x v="5"/>
    <x v="7"/>
    <n v="38"/>
    <n v="139"/>
    <x v="32"/>
    <x v="32"/>
    <n v="14118.62"/>
  </r>
  <r>
    <x v="4"/>
    <x v="5"/>
    <x v="3"/>
    <n v="38"/>
    <n v="62"/>
    <x v="33"/>
    <x v="33"/>
    <n v="22074.89"/>
  </r>
  <r>
    <x v="4"/>
    <x v="4"/>
    <x v="0"/>
    <n v="22"/>
    <n v="133"/>
    <x v="34"/>
    <x v="34"/>
    <n v="18795.689999999999"/>
  </r>
  <r>
    <x v="0"/>
    <x v="5"/>
    <x v="9"/>
    <n v="47"/>
    <n v="84"/>
    <x v="35"/>
    <x v="35"/>
    <n v="26646.52"/>
  </r>
  <r>
    <x v="1"/>
    <x v="5"/>
    <x v="5"/>
    <n v="15"/>
    <n v="40"/>
    <x v="36"/>
    <x v="36"/>
    <n v="37057.29"/>
  </r>
  <r>
    <x v="7"/>
    <x v="8"/>
    <x v="6"/>
    <n v="46"/>
    <n v="23"/>
    <x v="37"/>
    <x v="37"/>
    <n v="40771.839999999997"/>
  </r>
  <r>
    <x v="3"/>
    <x v="4"/>
    <x v="3"/>
    <n v="6"/>
    <n v="166"/>
    <x v="38"/>
    <x v="38"/>
    <n v="40731.29"/>
  </r>
  <r>
    <x v="0"/>
    <x v="7"/>
    <x v="3"/>
    <n v="37"/>
    <n v="85"/>
    <x v="39"/>
    <x v="39"/>
    <n v="4872.04"/>
  </r>
  <r>
    <x v="9"/>
    <x v="7"/>
    <x v="9"/>
    <n v="22"/>
    <n v="167"/>
    <x v="1"/>
    <x v="40"/>
    <n v="44531.22"/>
  </r>
  <r>
    <x v="5"/>
    <x v="0"/>
    <x v="1"/>
    <n v="8"/>
    <n v="61"/>
    <x v="40"/>
    <x v="10"/>
    <n v="42769.14"/>
  </r>
  <r>
    <x v="1"/>
    <x v="9"/>
    <x v="4"/>
    <n v="30"/>
    <n v="69"/>
    <x v="41"/>
    <x v="41"/>
    <n v="14701.02"/>
  </r>
  <r>
    <x v="3"/>
    <x v="5"/>
    <x v="4"/>
    <n v="11"/>
    <n v="22"/>
    <x v="42"/>
    <x v="42"/>
    <n v="48466.080000000002"/>
  </r>
  <r>
    <x v="8"/>
    <x v="9"/>
    <x v="1"/>
    <n v="37"/>
    <n v="26"/>
    <x v="43"/>
    <x v="43"/>
    <n v="25367.78"/>
  </r>
  <r>
    <x v="6"/>
    <x v="2"/>
    <x v="7"/>
    <n v="15"/>
    <n v="112"/>
    <x v="44"/>
    <x v="16"/>
    <n v="32628.67"/>
  </r>
  <r>
    <x v="2"/>
    <x v="7"/>
    <x v="3"/>
    <n v="30"/>
    <n v="161"/>
    <x v="45"/>
    <x v="44"/>
    <n v="10166.89"/>
  </r>
  <r>
    <x v="6"/>
    <x v="9"/>
    <x v="2"/>
    <n v="8"/>
    <n v="177"/>
    <x v="46"/>
    <x v="45"/>
    <n v="15913.48"/>
  </r>
  <r>
    <x v="7"/>
    <x v="3"/>
    <x v="2"/>
    <n v="30"/>
    <n v="158"/>
    <x v="41"/>
    <x v="17"/>
    <n v="16757.509999999998"/>
  </r>
  <r>
    <x v="0"/>
    <x v="2"/>
    <x v="9"/>
    <n v="27"/>
    <n v="65"/>
    <x v="47"/>
    <x v="46"/>
    <n v="35720.61"/>
  </r>
  <r>
    <x v="6"/>
    <x v="5"/>
    <x v="6"/>
    <n v="45"/>
    <n v="88"/>
    <x v="48"/>
    <x v="47"/>
    <n v="9438.26"/>
  </r>
  <r>
    <x v="0"/>
    <x v="7"/>
    <x v="8"/>
    <n v="32"/>
    <n v="51"/>
    <x v="49"/>
    <x v="48"/>
    <n v="27223.46"/>
  </r>
  <r>
    <x v="9"/>
    <x v="4"/>
    <x v="4"/>
    <n v="10"/>
    <n v="94"/>
    <x v="50"/>
    <x v="49"/>
    <n v="35570.839999999997"/>
  </r>
  <r>
    <x v="7"/>
    <x v="2"/>
    <x v="3"/>
    <n v="13"/>
    <n v="75"/>
    <x v="51"/>
    <x v="50"/>
    <n v="26027.37"/>
  </r>
  <r>
    <x v="8"/>
    <x v="6"/>
    <x v="3"/>
    <n v="23"/>
    <n v="109"/>
    <x v="52"/>
    <x v="51"/>
    <n v="36909.89"/>
  </r>
  <r>
    <x v="1"/>
    <x v="1"/>
    <x v="5"/>
    <n v="41"/>
    <n v="47"/>
    <x v="23"/>
    <x v="23"/>
    <n v="8519.11"/>
  </r>
  <r>
    <x v="9"/>
    <x v="0"/>
    <x v="2"/>
    <n v="9"/>
    <n v="134"/>
    <x v="53"/>
    <x v="52"/>
    <n v="48873.72"/>
  </r>
  <r>
    <x v="9"/>
    <x v="3"/>
    <x v="6"/>
    <n v="49"/>
    <n v="42"/>
    <x v="54"/>
    <x v="53"/>
    <n v="31342.58"/>
  </r>
  <r>
    <x v="4"/>
    <x v="2"/>
    <x v="0"/>
    <n v="48"/>
    <n v="138"/>
    <x v="50"/>
    <x v="35"/>
    <n v="46741.91"/>
  </r>
  <r>
    <x v="4"/>
    <x v="9"/>
    <x v="1"/>
    <n v="42"/>
    <n v="58"/>
    <x v="13"/>
    <x v="54"/>
    <n v="26614.52"/>
  </r>
  <r>
    <x v="7"/>
    <x v="2"/>
    <x v="3"/>
    <n v="21"/>
    <n v="50"/>
    <x v="55"/>
    <x v="55"/>
    <n v="10978.18"/>
  </r>
  <r>
    <x v="4"/>
    <x v="8"/>
    <x v="1"/>
    <n v="21"/>
    <n v="66"/>
    <x v="1"/>
    <x v="56"/>
    <n v="31175.27"/>
  </r>
  <r>
    <x v="8"/>
    <x v="1"/>
    <x v="0"/>
    <n v="31"/>
    <n v="122"/>
    <x v="45"/>
    <x v="57"/>
    <n v="44290.86"/>
  </r>
  <r>
    <x v="2"/>
    <x v="9"/>
    <x v="1"/>
    <n v="26"/>
    <n v="85"/>
    <x v="28"/>
    <x v="28"/>
    <n v="7502.64"/>
  </r>
  <r>
    <x v="9"/>
    <x v="7"/>
    <x v="1"/>
    <n v="31"/>
    <n v="75"/>
    <x v="56"/>
    <x v="58"/>
    <n v="7121.37"/>
  </r>
  <r>
    <x v="2"/>
    <x v="5"/>
    <x v="3"/>
    <n v="39"/>
    <n v="70"/>
    <x v="57"/>
    <x v="59"/>
    <n v="48241"/>
  </r>
  <r>
    <x v="3"/>
    <x v="2"/>
    <x v="9"/>
    <n v="14"/>
    <n v="91"/>
    <x v="58"/>
    <x v="60"/>
    <n v="33446.239999999998"/>
  </r>
  <r>
    <x v="1"/>
    <x v="9"/>
    <x v="1"/>
    <n v="14"/>
    <n v="62"/>
    <x v="59"/>
    <x v="61"/>
    <n v="13590.65"/>
  </r>
  <r>
    <x v="3"/>
    <x v="0"/>
    <x v="4"/>
    <n v="28"/>
    <n v="84"/>
    <x v="60"/>
    <x v="62"/>
    <n v="20849.310000000001"/>
  </r>
  <r>
    <x v="6"/>
    <x v="3"/>
    <x v="9"/>
    <n v="35"/>
    <n v="57"/>
    <x v="61"/>
    <x v="63"/>
    <n v="4388.33"/>
  </r>
  <r>
    <x v="7"/>
    <x v="1"/>
    <x v="2"/>
    <n v="5"/>
    <n v="41"/>
    <x v="62"/>
    <x v="64"/>
    <n v="23916.63"/>
  </r>
  <r>
    <x v="2"/>
    <x v="9"/>
    <x v="3"/>
    <n v="29"/>
    <n v="54"/>
    <x v="63"/>
    <x v="65"/>
    <n v="5084.1099999999997"/>
  </r>
  <r>
    <x v="5"/>
    <x v="2"/>
    <x v="9"/>
    <n v="28"/>
    <n v="102"/>
    <x v="0"/>
    <x v="66"/>
    <n v="23328.9"/>
  </r>
  <r>
    <x v="3"/>
    <x v="8"/>
    <x v="2"/>
    <n v="41"/>
    <n v="27"/>
    <x v="64"/>
    <x v="67"/>
    <n v="33417.279999999999"/>
  </r>
  <r>
    <x v="7"/>
    <x v="5"/>
    <x v="8"/>
    <n v="6"/>
    <n v="110"/>
    <x v="65"/>
    <x v="68"/>
    <n v="36545.43"/>
  </r>
  <r>
    <x v="8"/>
    <x v="5"/>
    <x v="5"/>
    <n v="19"/>
    <n v="31"/>
    <x v="32"/>
    <x v="32"/>
    <n v="43687.01"/>
  </r>
  <r>
    <x v="8"/>
    <x v="4"/>
    <x v="8"/>
    <n v="7"/>
    <n v="50"/>
    <x v="66"/>
    <x v="69"/>
    <n v="13902.24"/>
  </r>
  <r>
    <x v="5"/>
    <x v="6"/>
    <x v="9"/>
    <n v="32"/>
    <n v="56"/>
    <x v="67"/>
    <x v="35"/>
    <n v="22456.61"/>
  </r>
  <r>
    <x v="9"/>
    <x v="0"/>
    <x v="3"/>
    <n v="28"/>
    <n v="154"/>
    <x v="68"/>
    <x v="54"/>
    <n v="23012.639999999999"/>
  </r>
  <r>
    <x v="2"/>
    <x v="7"/>
    <x v="9"/>
    <n v="44"/>
    <n v="194"/>
    <x v="69"/>
    <x v="70"/>
    <n v="33963.65"/>
  </r>
  <r>
    <x v="5"/>
    <x v="3"/>
    <x v="4"/>
    <n v="40"/>
    <n v="150"/>
    <x v="70"/>
    <x v="71"/>
    <n v="9775.99"/>
  </r>
  <r>
    <x v="9"/>
    <x v="2"/>
    <x v="3"/>
    <n v="38"/>
    <n v="108"/>
    <x v="21"/>
    <x v="72"/>
    <n v="17211.57"/>
  </r>
  <r>
    <x v="4"/>
    <x v="2"/>
    <x v="3"/>
    <n v="17"/>
    <n v="29"/>
    <x v="71"/>
    <x v="73"/>
    <n v="17999.48"/>
  </r>
  <r>
    <x v="9"/>
    <x v="3"/>
    <x v="7"/>
    <n v="43"/>
    <n v="96"/>
    <x v="72"/>
    <x v="74"/>
    <n v="42883.43"/>
  </r>
  <r>
    <x v="4"/>
    <x v="8"/>
    <x v="8"/>
    <n v="21"/>
    <n v="151"/>
    <x v="33"/>
    <x v="75"/>
    <n v="2854.22"/>
  </r>
  <r>
    <x v="8"/>
    <x v="5"/>
    <x v="9"/>
    <n v="40"/>
    <n v="88"/>
    <x v="16"/>
    <x v="11"/>
    <n v="8333.48"/>
  </r>
  <r>
    <x v="3"/>
    <x v="2"/>
    <x v="3"/>
    <n v="25"/>
    <n v="131"/>
    <x v="73"/>
    <x v="76"/>
    <n v="47678.73"/>
  </r>
  <r>
    <x v="1"/>
    <x v="2"/>
    <x v="7"/>
    <n v="9"/>
    <n v="106"/>
    <x v="74"/>
    <x v="77"/>
    <n v="44526.27"/>
  </r>
  <r>
    <x v="7"/>
    <x v="1"/>
    <x v="6"/>
    <n v="48"/>
    <n v="25"/>
    <x v="75"/>
    <x v="78"/>
    <n v="4514.63"/>
  </r>
  <r>
    <x v="9"/>
    <x v="2"/>
    <x v="4"/>
    <n v="23"/>
    <n v="20"/>
    <x v="76"/>
    <x v="21"/>
    <n v="25418.26"/>
  </r>
  <r>
    <x v="4"/>
    <x v="1"/>
    <x v="0"/>
    <n v="6"/>
    <n v="48"/>
    <x v="77"/>
    <x v="43"/>
    <n v="46666.48"/>
  </r>
  <r>
    <x v="1"/>
    <x v="3"/>
    <x v="1"/>
    <n v="19"/>
    <n v="152"/>
    <x v="13"/>
    <x v="54"/>
    <n v="39298.300000000003"/>
  </r>
  <r>
    <x v="8"/>
    <x v="8"/>
    <x v="6"/>
    <n v="24"/>
    <n v="43"/>
    <x v="78"/>
    <x v="79"/>
    <n v="45451.78"/>
  </r>
  <r>
    <x v="4"/>
    <x v="5"/>
    <x v="2"/>
    <n v="43"/>
    <n v="133"/>
    <x v="79"/>
    <x v="80"/>
    <n v="24556.18"/>
  </r>
  <r>
    <x v="6"/>
    <x v="4"/>
    <x v="5"/>
    <n v="20"/>
    <n v="77"/>
    <x v="80"/>
    <x v="81"/>
    <n v="7146.07"/>
  </r>
  <r>
    <x v="0"/>
    <x v="9"/>
    <x v="4"/>
    <n v="28"/>
    <n v="126"/>
    <x v="81"/>
    <x v="82"/>
    <n v="21065.59"/>
  </r>
  <r>
    <x v="2"/>
    <x v="5"/>
    <x v="6"/>
    <n v="26"/>
    <n v="169"/>
    <x v="82"/>
    <x v="83"/>
    <n v="41677.339999999997"/>
  </r>
  <r>
    <x v="7"/>
    <x v="9"/>
    <x v="5"/>
    <n v="40"/>
    <n v="193"/>
    <x v="83"/>
    <x v="84"/>
    <n v="47625.7"/>
  </r>
  <r>
    <x v="9"/>
    <x v="7"/>
    <x v="9"/>
    <n v="42"/>
    <n v="163"/>
    <x v="84"/>
    <x v="85"/>
    <n v="8684.16"/>
  </r>
  <r>
    <x v="7"/>
    <x v="9"/>
    <x v="3"/>
    <n v="14"/>
    <n v="37"/>
    <x v="85"/>
    <x v="86"/>
    <n v="17213.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n v="47"/>
    <x v="0"/>
    <d v="2023-12-13T00:00:00"/>
    <d v="2023-12-14T00:00:00"/>
    <n v="31364.880000000001"/>
    <n v="1"/>
  </r>
  <r>
    <x v="1"/>
    <x v="1"/>
    <x v="1"/>
    <n v="15"/>
    <x v="1"/>
    <d v="2023-12-29T00:00:00"/>
    <d v="2024-01-09T00:00:00"/>
    <n v="47280.19"/>
    <n v="11"/>
  </r>
  <r>
    <x v="0"/>
    <x v="2"/>
    <x v="2"/>
    <n v="20"/>
    <x v="2"/>
    <d v="2023-10-07T00:00:00"/>
    <d v="2023-10-21T00:00:00"/>
    <n v="28574.720000000001"/>
    <n v="14"/>
  </r>
  <r>
    <x v="2"/>
    <x v="3"/>
    <x v="3"/>
    <n v="8"/>
    <x v="3"/>
    <d v="2023-04-29T00:00:00"/>
    <d v="2023-05-11T00:00:00"/>
    <n v="7000.83"/>
    <n v="12"/>
  </r>
  <r>
    <x v="3"/>
    <x v="4"/>
    <x v="4"/>
    <n v="35"/>
    <x v="4"/>
    <d v="2023-02-10T00:00:00"/>
    <d v="2023-02-12T00:00:00"/>
    <n v="47210.46"/>
    <n v="2"/>
  </r>
  <r>
    <x v="2"/>
    <x v="3"/>
    <x v="5"/>
    <n v="11"/>
    <x v="4"/>
    <d v="2023-02-05T00:00:00"/>
    <d v="2023-02-17T00:00:00"/>
    <n v="18612.34"/>
    <n v="12"/>
  </r>
  <r>
    <x v="4"/>
    <x v="2"/>
    <x v="5"/>
    <n v="22"/>
    <x v="5"/>
    <d v="2023-08-01T00:00:00"/>
    <d v="2023-08-06T00:00:00"/>
    <n v="47808.55"/>
    <n v="5"/>
  </r>
  <r>
    <x v="5"/>
    <x v="5"/>
    <x v="6"/>
    <n v="37"/>
    <x v="6"/>
    <d v="2023-10-01T00:00:00"/>
    <d v="2023-10-12T00:00:00"/>
    <n v="12284.65"/>
    <n v="11"/>
  </r>
  <r>
    <x v="2"/>
    <x v="5"/>
    <x v="1"/>
    <n v="9"/>
    <x v="7"/>
    <d v="2023-06-12T00:00:00"/>
    <d v="2023-06-18T00:00:00"/>
    <n v="14650.23"/>
    <n v="6"/>
  </r>
  <r>
    <x v="6"/>
    <x v="1"/>
    <x v="2"/>
    <n v="30"/>
    <x v="8"/>
    <d v="2023-12-07T00:00:00"/>
    <d v="2023-12-08T00:00:00"/>
    <n v="30006.959999999999"/>
    <n v="1"/>
  </r>
  <r>
    <x v="7"/>
    <x v="6"/>
    <x v="7"/>
    <n v="39"/>
    <x v="9"/>
    <d v="2023-09-13T00:00:00"/>
    <d v="2023-09-15T00:00:00"/>
    <n v="13282.51"/>
    <n v="2"/>
  </r>
  <r>
    <x v="1"/>
    <x v="5"/>
    <x v="3"/>
    <n v="22"/>
    <x v="10"/>
    <d v="2023-03-12T00:00:00"/>
    <d v="2023-03-25T00:00:00"/>
    <n v="13481.9"/>
    <n v="13"/>
  </r>
  <r>
    <x v="3"/>
    <x v="7"/>
    <x v="8"/>
    <n v="32"/>
    <x v="11"/>
    <d v="2023-11-18T00:00:00"/>
    <d v="2023-11-24T00:00:00"/>
    <n v="36748.42"/>
    <n v="6"/>
  </r>
  <r>
    <x v="1"/>
    <x v="5"/>
    <x v="0"/>
    <n v="27"/>
    <x v="12"/>
    <d v="2023-09-18T00:00:00"/>
    <d v="2023-09-24T00:00:00"/>
    <n v="37056.51"/>
    <n v="6"/>
  </r>
  <r>
    <x v="8"/>
    <x v="2"/>
    <x v="4"/>
    <n v="48"/>
    <x v="13"/>
    <d v="2023-08-06T00:00:00"/>
    <d v="2023-08-11T00:00:00"/>
    <n v="15107.89"/>
    <n v="5"/>
  </r>
  <r>
    <x v="7"/>
    <x v="0"/>
    <x v="8"/>
    <n v="17"/>
    <x v="12"/>
    <d v="2023-06-27T00:00:00"/>
    <d v="2023-06-30T00:00:00"/>
    <n v="9348.5499999999993"/>
    <n v="3"/>
  </r>
  <r>
    <x v="6"/>
    <x v="0"/>
    <x v="2"/>
    <n v="40"/>
    <x v="14"/>
    <d v="2023-03-22T00:00:00"/>
    <d v="2023-03-28T00:00:00"/>
    <n v="48548.44"/>
    <n v="6"/>
  </r>
  <r>
    <x v="7"/>
    <x v="2"/>
    <x v="9"/>
    <n v="14"/>
    <x v="15"/>
    <d v="2023-11-11T00:00:00"/>
    <d v="2023-11-22T00:00:00"/>
    <n v="29942.75"/>
    <n v="11"/>
  </r>
  <r>
    <x v="5"/>
    <x v="8"/>
    <x v="3"/>
    <n v="41"/>
    <x v="16"/>
    <d v="2023-11-05T00:00:00"/>
    <d v="2023-11-08T00:00:00"/>
    <n v="43367.53"/>
    <n v="3"/>
  </r>
  <r>
    <x v="1"/>
    <x v="6"/>
    <x v="3"/>
    <n v="46"/>
    <x v="17"/>
    <d v="2023-02-14T00:00:00"/>
    <d v="2023-02-18T00:00:00"/>
    <n v="41367.1"/>
    <n v="4"/>
  </r>
  <r>
    <x v="9"/>
    <x v="9"/>
    <x v="7"/>
    <n v="7"/>
    <x v="15"/>
    <d v="2023-10-06T00:00:00"/>
    <d v="2023-10-07T00:00:00"/>
    <n v="30136.26"/>
    <n v="1"/>
  </r>
  <r>
    <x v="5"/>
    <x v="3"/>
    <x v="7"/>
    <n v="28"/>
    <x v="18"/>
    <d v="2023-04-08T00:00:00"/>
    <d v="2023-04-22T00:00:00"/>
    <n v="17698.490000000002"/>
    <n v="14"/>
  </r>
  <r>
    <x v="1"/>
    <x v="2"/>
    <x v="5"/>
    <n v="32"/>
    <x v="19"/>
    <d v="2023-10-28T00:00:00"/>
    <d v="2023-10-30T00:00:00"/>
    <n v="40799.019999999997"/>
    <n v="2"/>
  </r>
  <r>
    <x v="5"/>
    <x v="3"/>
    <x v="0"/>
    <n v="5"/>
    <x v="20"/>
    <d v="2023-03-25T00:00:00"/>
    <d v="2023-03-29T00:00:00"/>
    <n v="20952.509999999998"/>
    <n v="4"/>
  </r>
  <r>
    <x v="3"/>
    <x v="7"/>
    <x v="5"/>
    <n v="48"/>
    <x v="21"/>
    <d v="2023-02-24T00:00:00"/>
    <d v="2023-03-04T00:00:00"/>
    <n v="10882.4"/>
    <n v="8"/>
  </r>
  <r>
    <x v="5"/>
    <x v="1"/>
    <x v="1"/>
    <n v="9"/>
    <x v="22"/>
    <d v="2023-11-09T00:00:00"/>
    <d v="2023-11-16T00:00:00"/>
    <n v="25177.79"/>
    <n v="7"/>
  </r>
  <r>
    <x v="5"/>
    <x v="7"/>
    <x v="1"/>
    <n v="9"/>
    <x v="23"/>
    <d v="2023-04-06T00:00:00"/>
    <d v="2023-04-21T00:00:00"/>
    <n v="21666.78"/>
    <n v="15"/>
  </r>
  <r>
    <x v="5"/>
    <x v="7"/>
    <x v="7"/>
    <n v="20"/>
    <x v="24"/>
    <d v="2023-05-05T00:00:00"/>
    <d v="2023-05-10T00:00:00"/>
    <n v="37856.699999999997"/>
    <n v="5"/>
  </r>
  <r>
    <x v="7"/>
    <x v="1"/>
    <x v="8"/>
    <n v="46"/>
    <x v="25"/>
    <d v="2023-09-25T00:00:00"/>
    <d v="2023-09-29T00:00:00"/>
    <n v="25298.5"/>
    <n v="4"/>
  </r>
  <r>
    <x v="3"/>
    <x v="3"/>
    <x v="7"/>
    <n v="7"/>
    <x v="26"/>
    <d v="2023-05-12T00:00:00"/>
    <d v="2023-05-21T00:00:00"/>
    <n v="28558.23"/>
    <n v="9"/>
  </r>
  <r>
    <x v="4"/>
    <x v="0"/>
    <x v="7"/>
    <n v="36"/>
    <x v="27"/>
    <d v="2023-09-19T00:00:00"/>
    <d v="2023-09-20T00:00:00"/>
    <n v="44452.26"/>
    <n v="1"/>
  </r>
  <r>
    <x v="7"/>
    <x v="6"/>
    <x v="9"/>
    <n v="20"/>
    <x v="28"/>
    <d v="2023-08-21T00:00:00"/>
    <d v="2023-08-28T00:00:00"/>
    <n v="49955.41"/>
    <n v="7"/>
  </r>
  <r>
    <x v="6"/>
    <x v="5"/>
    <x v="7"/>
    <n v="38"/>
    <x v="29"/>
    <d v="2023-07-01T00:00:00"/>
    <d v="2023-07-15T00:00:00"/>
    <n v="14118.62"/>
    <n v="14"/>
  </r>
  <r>
    <x v="4"/>
    <x v="5"/>
    <x v="3"/>
    <n v="38"/>
    <x v="30"/>
    <d v="2023-06-07T00:00:00"/>
    <d v="2023-06-17T00:00:00"/>
    <n v="22074.89"/>
    <n v="10"/>
  </r>
  <r>
    <x v="4"/>
    <x v="4"/>
    <x v="0"/>
    <n v="22"/>
    <x v="31"/>
    <d v="2023-02-13T00:00:00"/>
    <d v="2023-02-28T00:00:00"/>
    <n v="18795.689999999999"/>
    <n v="15"/>
  </r>
  <r>
    <x v="0"/>
    <x v="5"/>
    <x v="9"/>
    <n v="47"/>
    <x v="32"/>
    <d v="2023-01-20T00:00:00"/>
    <d v="2023-01-26T00:00:00"/>
    <n v="26646.52"/>
    <n v="6"/>
  </r>
  <r>
    <x v="1"/>
    <x v="5"/>
    <x v="5"/>
    <n v="15"/>
    <x v="33"/>
    <d v="2023-10-23T00:00:00"/>
    <d v="2023-10-26T00:00:00"/>
    <n v="37057.29"/>
    <n v="3"/>
  </r>
  <r>
    <x v="7"/>
    <x v="8"/>
    <x v="6"/>
    <n v="46"/>
    <x v="34"/>
    <d v="2023-05-27T00:00:00"/>
    <d v="2023-05-29T00:00:00"/>
    <n v="40771.839999999997"/>
    <n v="2"/>
  </r>
  <r>
    <x v="3"/>
    <x v="4"/>
    <x v="3"/>
    <n v="6"/>
    <x v="35"/>
    <d v="2023-12-16T00:00:00"/>
    <d v="2023-12-25T00:00:00"/>
    <n v="40731.29"/>
    <n v="9"/>
  </r>
  <r>
    <x v="0"/>
    <x v="7"/>
    <x v="3"/>
    <n v="37"/>
    <x v="36"/>
    <d v="2023-06-09T00:00:00"/>
    <d v="2023-06-16T00:00:00"/>
    <n v="4872.04"/>
    <n v="7"/>
  </r>
  <r>
    <x v="9"/>
    <x v="7"/>
    <x v="9"/>
    <n v="22"/>
    <x v="37"/>
    <d v="2023-12-29T00:00:00"/>
    <d v="2024-01-10T00:00:00"/>
    <n v="44531.22"/>
    <n v="12"/>
  </r>
  <r>
    <x v="5"/>
    <x v="0"/>
    <x v="1"/>
    <n v="8"/>
    <x v="38"/>
    <d v="2023-09-10T00:00:00"/>
    <d v="2023-09-15T00:00:00"/>
    <n v="42769.14"/>
    <n v="5"/>
  </r>
  <r>
    <x v="1"/>
    <x v="9"/>
    <x v="4"/>
    <n v="30"/>
    <x v="27"/>
    <d v="2023-11-13T00:00:00"/>
    <d v="2023-11-26T00:00:00"/>
    <n v="14701.02"/>
    <n v="13"/>
  </r>
  <r>
    <x v="3"/>
    <x v="5"/>
    <x v="4"/>
    <n v="11"/>
    <x v="39"/>
    <d v="2023-05-15T00:00:00"/>
    <d v="2023-05-18T00:00:00"/>
    <n v="48466.080000000002"/>
    <n v="3"/>
  </r>
  <r>
    <x v="8"/>
    <x v="9"/>
    <x v="1"/>
    <n v="37"/>
    <x v="40"/>
    <d v="2023-07-10T00:00:00"/>
    <d v="2023-07-24T00:00:00"/>
    <n v="25367.78"/>
    <n v="14"/>
  </r>
  <r>
    <x v="6"/>
    <x v="2"/>
    <x v="7"/>
    <n v="15"/>
    <x v="41"/>
    <d v="2023-03-26T00:00:00"/>
    <d v="2023-03-28T00:00:00"/>
    <n v="32628.67"/>
    <n v="2"/>
  </r>
  <r>
    <x v="2"/>
    <x v="7"/>
    <x v="3"/>
    <n v="30"/>
    <x v="42"/>
    <d v="2023-11-10T00:00:00"/>
    <d v="2023-11-25T00:00:00"/>
    <n v="10166.89"/>
    <n v="15"/>
  </r>
  <r>
    <x v="6"/>
    <x v="9"/>
    <x v="2"/>
    <n v="8"/>
    <x v="43"/>
    <d v="2023-08-13T00:00:00"/>
    <d v="2023-08-17T00:00:00"/>
    <n v="15913.48"/>
    <n v="4"/>
  </r>
  <r>
    <x v="7"/>
    <x v="3"/>
    <x v="2"/>
    <n v="30"/>
    <x v="44"/>
    <d v="2023-11-13T00:00:00"/>
    <d v="2023-11-22T00:00:00"/>
    <n v="16757.509999999998"/>
    <n v="9"/>
  </r>
  <r>
    <x v="0"/>
    <x v="2"/>
    <x v="9"/>
    <n v="27"/>
    <x v="45"/>
    <d v="2023-03-29T00:00:00"/>
    <d v="2023-04-08T00:00:00"/>
    <n v="35720.61"/>
    <n v="10"/>
  </r>
  <r>
    <x v="6"/>
    <x v="5"/>
    <x v="6"/>
    <n v="45"/>
    <x v="26"/>
    <d v="2023-06-21T00:00:00"/>
    <d v="2023-07-05T00:00:00"/>
    <n v="9438.26"/>
    <n v="14"/>
  </r>
  <r>
    <x v="0"/>
    <x v="7"/>
    <x v="8"/>
    <n v="32"/>
    <x v="1"/>
    <d v="2023-12-30T00:00:00"/>
    <d v="2024-01-12T00:00:00"/>
    <n v="27223.46"/>
    <n v="13"/>
  </r>
  <r>
    <x v="9"/>
    <x v="4"/>
    <x v="4"/>
    <n v="10"/>
    <x v="28"/>
    <d v="2023-01-18T00:00:00"/>
    <d v="2023-02-02T00:00:00"/>
    <n v="35570.839999999997"/>
    <n v="15"/>
  </r>
  <r>
    <x v="7"/>
    <x v="2"/>
    <x v="3"/>
    <n v="13"/>
    <x v="46"/>
    <d v="2023-02-07T00:00:00"/>
    <d v="2023-02-13T00:00:00"/>
    <n v="26027.37"/>
    <n v="6"/>
  </r>
  <r>
    <x v="8"/>
    <x v="6"/>
    <x v="3"/>
    <n v="23"/>
    <x v="47"/>
    <d v="2023-06-23T00:00:00"/>
    <d v="2023-07-01T00:00:00"/>
    <n v="36909.89"/>
    <n v="8"/>
  </r>
  <r>
    <x v="1"/>
    <x v="1"/>
    <x v="5"/>
    <n v="41"/>
    <x v="48"/>
    <d v="2023-03-25T00:00:00"/>
    <d v="2023-03-29T00:00:00"/>
    <n v="8519.11"/>
    <n v="4"/>
  </r>
  <r>
    <x v="9"/>
    <x v="0"/>
    <x v="2"/>
    <n v="9"/>
    <x v="49"/>
    <d v="2023-05-17T00:00:00"/>
    <d v="2023-05-31T00:00:00"/>
    <n v="48873.72"/>
    <n v="14"/>
  </r>
  <r>
    <x v="9"/>
    <x v="3"/>
    <x v="6"/>
    <n v="49"/>
    <x v="50"/>
    <d v="2023-12-28T00:00:00"/>
    <d v="2024-01-07T00:00:00"/>
    <n v="31342.58"/>
    <n v="10"/>
  </r>
  <r>
    <x v="4"/>
    <x v="2"/>
    <x v="0"/>
    <n v="48"/>
    <x v="51"/>
    <d v="2023-01-18T00:00:00"/>
    <d v="2023-01-26T00:00:00"/>
    <n v="46741.91"/>
    <n v="8"/>
  </r>
  <r>
    <x v="4"/>
    <x v="9"/>
    <x v="1"/>
    <n v="42"/>
    <x v="52"/>
    <d v="2023-09-18T00:00:00"/>
    <d v="2023-09-19T00:00:00"/>
    <n v="26614.52"/>
    <n v="1"/>
  </r>
  <r>
    <x v="7"/>
    <x v="2"/>
    <x v="3"/>
    <n v="21"/>
    <x v="53"/>
    <d v="2023-06-22T00:00:00"/>
    <d v="2023-06-27T00:00:00"/>
    <n v="10978.18"/>
    <n v="5"/>
  </r>
  <r>
    <x v="4"/>
    <x v="8"/>
    <x v="1"/>
    <n v="21"/>
    <x v="54"/>
    <d v="2023-12-29T00:00:00"/>
    <d v="2024-01-13T00:00:00"/>
    <n v="31175.27"/>
    <n v="15"/>
  </r>
  <r>
    <x v="8"/>
    <x v="1"/>
    <x v="0"/>
    <n v="31"/>
    <x v="55"/>
    <d v="2023-11-10T00:00:00"/>
    <d v="2023-11-13T00:00:00"/>
    <n v="44290.86"/>
    <n v="3"/>
  </r>
  <r>
    <x v="2"/>
    <x v="9"/>
    <x v="1"/>
    <n v="26"/>
    <x v="36"/>
    <d v="2023-09-25T00:00:00"/>
    <d v="2023-09-29T00:00:00"/>
    <n v="7502.64"/>
    <n v="4"/>
  </r>
  <r>
    <x v="9"/>
    <x v="7"/>
    <x v="1"/>
    <n v="31"/>
    <x v="46"/>
    <d v="2023-06-06T00:00:00"/>
    <d v="2023-06-11T00:00:00"/>
    <n v="7121.37"/>
    <n v="5"/>
  </r>
  <r>
    <x v="2"/>
    <x v="5"/>
    <x v="3"/>
    <n v="39"/>
    <x v="9"/>
    <d v="2023-07-28T00:00:00"/>
    <d v="2023-08-04T00:00:00"/>
    <n v="48241"/>
    <n v="7"/>
  </r>
  <r>
    <x v="3"/>
    <x v="2"/>
    <x v="9"/>
    <n v="14"/>
    <x v="21"/>
    <d v="2023-07-20T00:00:00"/>
    <d v="2023-08-03T00:00:00"/>
    <n v="33446.239999999998"/>
    <n v="14"/>
  </r>
  <r>
    <x v="1"/>
    <x v="9"/>
    <x v="1"/>
    <n v="14"/>
    <x v="30"/>
    <d v="2023-12-17T00:00:00"/>
    <d v="2023-12-30T00:00:00"/>
    <n v="13590.65"/>
    <n v="13"/>
  </r>
  <r>
    <x v="3"/>
    <x v="0"/>
    <x v="4"/>
    <n v="28"/>
    <x v="32"/>
    <d v="2023-02-08T00:00:00"/>
    <d v="2023-02-22T00:00:00"/>
    <n v="20849.310000000001"/>
    <n v="14"/>
  </r>
  <r>
    <x v="6"/>
    <x v="3"/>
    <x v="9"/>
    <n v="35"/>
    <x v="56"/>
    <d v="2023-08-09T00:00:00"/>
    <d v="2023-08-19T00:00:00"/>
    <n v="4388.33"/>
    <n v="10"/>
  </r>
  <r>
    <x v="7"/>
    <x v="1"/>
    <x v="2"/>
    <n v="5"/>
    <x v="57"/>
    <d v="2023-03-31T00:00:00"/>
    <d v="2023-04-05T00:00:00"/>
    <n v="23916.63"/>
    <n v="5"/>
  </r>
  <r>
    <x v="2"/>
    <x v="9"/>
    <x v="3"/>
    <n v="29"/>
    <x v="58"/>
    <d v="2023-10-22T00:00:00"/>
    <d v="2023-11-05T00:00:00"/>
    <n v="5084.1099999999997"/>
    <n v="14"/>
  </r>
  <r>
    <x v="5"/>
    <x v="2"/>
    <x v="9"/>
    <n v="28"/>
    <x v="59"/>
    <d v="2023-12-13T00:00:00"/>
    <d v="2023-12-20T00:00:00"/>
    <n v="23328.9"/>
    <n v="7"/>
  </r>
  <r>
    <x v="3"/>
    <x v="8"/>
    <x v="2"/>
    <n v="41"/>
    <x v="60"/>
    <d v="2023-02-20T00:00:00"/>
    <d v="2023-03-06T00:00:00"/>
    <n v="33417.279999999999"/>
    <n v="14"/>
  </r>
  <r>
    <x v="7"/>
    <x v="5"/>
    <x v="8"/>
    <n v="6"/>
    <x v="61"/>
    <d v="2023-09-21T00:00:00"/>
    <d v="2023-10-06T00:00:00"/>
    <n v="36545.43"/>
    <n v="15"/>
  </r>
  <r>
    <x v="8"/>
    <x v="5"/>
    <x v="5"/>
    <n v="19"/>
    <x v="62"/>
    <d v="2023-07-01T00:00:00"/>
    <d v="2023-07-15T00:00:00"/>
    <n v="43687.01"/>
    <n v="14"/>
  </r>
  <r>
    <x v="8"/>
    <x v="4"/>
    <x v="8"/>
    <n v="7"/>
    <x v="53"/>
    <d v="2023-08-02T00:00:00"/>
    <d v="2023-08-07T00:00:00"/>
    <n v="13902.24"/>
    <n v="5"/>
  </r>
  <r>
    <x v="5"/>
    <x v="6"/>
    <x v="9"/>
    <n v="32"/>
    <x v="63"/>
    <d v="2023-01-11T00:00:00"/>
    <d v="2023-01-26T00:00:00"/>
    <n v="22456.61"/>
    <n v="15"/>
  </r>
  <r>
    <x v="9"/>
    <x v="0"/>
    <x v="3"/>
    <n v="28"/>
    <x v="17"/>
    <d v="2023-09-04T00:00:00"/>
    <d v="2023-09-19T00:00:00"/>
    <n v="23012.639999999999"/>
    <n v="15"/>
  </r>
  <r>
    <x v="2"/>
    <x v="7"/>
    <x v="9"/>
    <n v="44"/>
    <x v="64"/>
    <d v="2023-08-18T00:00:00"/>
    <d v="2023-08-27T00:00:00"/>
    <n v="33963.65"/>
    <n v="9"/>
  </r>
  <r>
    <x v="5"/>
    <x v="3"/>
    <x v="4"/>
    <n v="40"/>
    <x v="65"/>
    <d v="2023-05-01T00:00:00"/>
    <d v="2023-05-02T00:00:00"/>
    <n v="9775.99"/>
    <n v="1"/>
  </r>
  <r>
    <x v="9"/>
    <x v="2"/>
    <x v="3"/>
    <n v="38"/>
    <x v="66"/>
    <d v="2023-04-08T00:00:00"/>
    <d v="2023-04-20T00:00:00"/>
    <n v="17211.57"/>
    <n v="12"/>
  </r>
  <r>
    <x v="4"/>
    <x v="2"/>
    <x v="3"/>
    <n v="17"/>
    <x v="67"/>
    <d v="2023-01-16T00:00:00"/>
    <d v="2023-01-25T00:00:00"/>
    <n v="17999.48"/>
    <n v="9"/>
  </r>
  <r>
    <x v="9"/>
    <x v="3"/>
    <x v="7"/>
    <n v="43"/>
    <x v="14"/>
    <d v="2023-02-04T00:00:00"/>
    <d v="2023-02-05T00:00:00"/>
    <n v="42883.43"/>
    <n v="1"/>
  </r>
  <r>
    <x v="4"/>
    <x v="8"/>
    <x v="8"/>
    <n v="21"/>
    <x v="68"/>
    <d v="2023-06-07T00:00:00"/>
    <d v="2023-06-09T00:00:00"/>
    <n v="2854.22"/>
    <n v="2"/>
  </r>
  <r>
    <x v="8"/>
    <x v="5"/>
    <x v="9"/>
    <n v="40"/>
    <x v="26"/>
    <d v="2023-03-22T00:00:00"/>
    <d v="2023-03-25T00:00:00"/>
    <n v="8333.48"/>
    <n v="3"/>
  </r>
  <r>
    <x v="3"/>
    <x v="2"/>
    <x v="3"/>
    <n v="25"/>
    <x v="69"/>
    <d v="2023-06-30T00:00:00"/>
    <d v="2023-07-02T00:00:00"/>
    <n v="47678.73"/>
    <n v="2"/>
  </r>
  <r>
    <x v="1"/>
    <x v="2"/>
    <x v="7"/>
    <n v="9"/>
    <x v="70"/>
    <d v="2023-11-14T00:00:00"/>
    <d v="2023-11-21T00:00:00"/>
    <n v="44526.27"/>
    <n v="7"/>
  </r>
  <r>
    <x v="7"/>
    <x v="1"/>
    <x v="6"/>
    <n v="48"/>
    <x v="71"/>
    <d v="2023-10-16T00:00:00"/>
    <d v="2023-10-28T00:00:00"/>
    <n v="4514.63"/>
    <n v="12"/>
  </r>
  <r>
    <x v="9"/>
    <x v="2"/>
    <x v="4"/>
    <n v="23"/>
    <x v="72"/>
    <d v="2023-04-17T00:00:00"/>
    <d v="2023-04-22T00:00:00"/>
    <n v="25418.26"/>
    <n v="5"/>
  </r>
  <r>
    <x v="4"/>
    <x v="1"/>
    <x v="0"/>
    <n v="6"/>
    <x v="73"/>
    <d v="2023-07-11T00:00:00"/>
    <d v="2023-07-24T00:00:00"/>
    <n v="46666.48"/>
    <n v="13"/>
  </r>
  <r>
    <x v="1"/>
    <x v="3"/>
    <x v="1"/>
    <n v="19"/>
    <x v="74"/>
    <d v="2023-09-18T00:00:00"/>
    <d v="2023-09-19T00:00:00"/>
    <n v="39298.300000000003"/>
    <n v="1"/>
  </r>
  <r>
    <x v="8"/>
    <x v="8"/>
    <x v="6"/>
    <n v="24"/>
    <x v="75"/>
    <d v="2023-09-29T00:00:00"/>
    <d v="2023-10-01T00:00:00"/>
    <n v="45451.78"/>
    <n v="2"/>
  </r>
  <r>
    <x v="4"/>
    <x v="5"/>
    <x v="2"/>
    <n v="43"/>
    <x v="31"/>
    <d v="2023-01-27T00:00:00"/>
    <d v="2023-02-11T00:00:00"/>
    <n v="24556.18"/>
    <n v="15"/>
  </r>
  <r>
    <x v="6"/>
    <x v="4"/>
    <x v="5"/>
    <n v="20"/>
    <x v="76"/>
    <d v="2023-03-07T00:00:00"/>
    <d v="2023-03-18T00:00:00"/>
    <n v="7146.07"/>
    <n v="11"/>
  </r>
  <r>
    <x v="0"/>
    <x v="9"/>
    <x v="4"/>
    <n v="28"/>
    <x v="77"/>
    <d v="2023-11-29T00:00:00"/>
    <d v="2023-12-10T00:00:00"/>
    <n v="21065.59"/>
    <n v="11"/>
  </r>
  <r>
    <x v="2"/>
    <x v="5"/>
    <x v="6"/>
    <n v="26"/>
    <x v="78"/>
    <d v="2023-02-18T00:00:00"/>
    <d v="2023-02-19T00:00:00"/>
    <n v="41677.339999999997"/>
    <n v="1"/>
  </r>
  <r>
    <x v="7"/>
    <x v="9"/>
    <x v="5"/>
    <n v="40"/>
    <x v="79"/>
    <d v="2023-11-01T00:00:00"/>
    <d v="2023-11-15T00:00:00"/>
    <n v="47625.7"/>
    <n v="14"/>
  </r>
  <r>
    <x v="9"/>
    <x v="7"/>
    <x v="9"/>
    <n v="42"/>
    <x v="80"/>
    <d v="2023-05-19T00:00:00"/>
    <d v="2023-05-26T00:00:00"/>
    <n v="8684.16"/>
    <n v="7"/>
  </r>
  <r>
    <x v="7"/>
    <x v="9"/>
    <x v="3"/>
    <n v="14"/>
    <x v="13"/>
    <d v="2023-12-09T00:00:00"/>
    <d v="2023-12-15T00:00:00"/>
    <n v="17213.05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F541F-3D02-4B77-B216-3FD41E0C022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:C13" firstHeaderRow="0" firstDataRow="1" firstDataCol="1"/>
  <pivotFields count="14">
    <pivotField showAll="0">
      <items count="11">
        <item x="5"/>
        <item x="3"/>
        <item x="1"/>
        <item x="4"/>
        <item x="6"/>
        <item x="7"/>
        <item x="2"/>
        <item x="9"/>
        <item x="8"/>
        <item x="0"/>
        <item t="default"/>
      </items>
    </pivotField>
    <pivotField axis="axisRow" showAll="0" measureFilter="1" sortType="descending">
      <items count="11">
        <item x="2"/>
        <item x="9"/>
        <item x="0"/>
        <item x="8"/>
        <item x="3"/>
        <item x="5"/>
        <item x="4"/>
        <item x="7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numFmtId="14" showAll="0">
      <items count="87">
        <item x="67"/>
        <item x="71"/>
        <item x="50"/>
        <item x="35"/>
        <item x="79"/>
        <item x="72"/>
        <item x="5"/>
        <item x="51"/>
        <item x="60"/>
        <item x="4"/>
        <item x="34"/>
        <item x="19"/>
        <item x="82"/>
        <item x="64"/>
        <item x="24"/>
        <item x="80"/>
        <item x="11"/>
        <item x="16"/>
        <item x="23"/>
        <item x="44"/>
        <item x="47"/>
        <item x="62"/>
        <item x="26"/>
        <item x="21"/>
        <item x="76"/>
        <item x="3"/>
        <item x="70"/>
        <item x="27"/>
        <item x="29"/>
        <item x="42"/>
        <item x="53"/>
        <item x="84"/>
        <item x="37"/>
        <item x="56"/>
        <item x="33"/>
        <item x="39"/>
        <item x="8"/>
        <item x="48"/>
        <item x="55"/>
        <item x="52"/>
        <item x="15"/>
        <item x="73"/>
        <item x="32"/>
        <item x="43"/>
        <item x="77"/>
        <item x="58"/>
        <item x="57"/>
        <item x="6"/>
        <item x="66"/>
        <item x="14"/>
        <item x="61"/>
        <item x="46"/>
        <item x="69"/>
        <item x="31"/>
        <item x="68"/>
        <item x="40"/>
        <item x="10"/>
        <item x="13"/>
        <item x="30"/>
        <item x="65"/>
        <item x="28"/>
        <item x="78"/>
        <item x="7"/>
        <item x="20"/>
        <item x="2"/>
        <item x="75"/>
        <item x="63"/>
        <item x="36"/>
        <item x="22"/>
        <item x="83"/>
        <item x="18"/>
        <item x="25"/>
        <item x="45"/>
        <item x="17"/>
        <item x="41"/>
        <item x="74"/>
        <item x="12"/>
        <item x="81"/>
        <item x="9"/>
        <item x="85"/>
        <item x="0"/>
        <item x="38"/>
        <item x="59"/>
        <item x="54"/>
        <item x="1"/>
        <item x="49"/>
        <item t="default"/>
      </items>
    </pivotField>
    <pivotField numFmtId="14" showAll="0">
      <items count="88">
        <item x="73"/>
        <item x="35"/>
        <item x="49"/>
        <item x="74"/>
        <item x="80"/>
        <item x="4"/>
        <item x="50"/>
        <item x="5"/>
        <item x="19"/>
        <item x="83"/>
        <item x="62"/>
        <item x="34"/>
        <item x="24"/>
        <item x="67"/>
        <item x="81"/>
        <item x="11"/>
        <item x="16"/>
        <item x="23"/>
        <item x="64"/>
        <item x="46"/>
        <item x="72"/>
        <item x="26"/>
        <item x="21"/>
        <item x="71"/>
        <item x="27"/>
        <item x="3"/>
        <item x="42"/>
        <item x="29"/>
        <item x="85"/>
        <item x="37"/>
        <item x="52"/>
        <item x="75"/>
        <item x="58"/>
        <item x="39"/>
        <item x="33"/>
        <item x="8"/>
        <item x="55"/>
        <item x="15"/>
        <item x="51"/>
        <item x="76"/>
        <item x="47"/>
        <item x="32"/>
        <item x="43"/>
        <item x="60"/>
        <item x="59"/>
        <item x="6"/>
        <item x="69"/>
        <item x="14"/>
        <item x="45"/>
        <item x="63"/>
        <item x="70"/>
        <item x="31"/>
        <item x="10"/>
        <item x="54"/>
        <item x="30"/>
        <item x="13"/>
        <item x="28"/>
        <item x="79"/>
        <item x="68"/>
        <item x="20"/>
        <item x="7"/>
        <item x="2"/>
        <item x="36"/>
        <item x="78"/>
        <item x="22"/>
        <item x="65"/>
        <item x="18"/>
        <item x="57"/>
        <item x="84"/>
        <item x="25"/>
        <item x="77"/>
        <item x="17"/>
        <item x="12"/>
        <item x="44"/>
        <item x="41"/>
        <item x="9"/>
        <item x="82"/>
        <item x="0"/>
        <item x="86"/>
        <item x="66"/>
        <item x="38"/>
        <item x="61"/>
        <item x="53"/>
        <item x="1"/>
        <item x="40"/>
        <item x="48"/>
        <item x="56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ragToRow="0" dragToCol="0" dragToPage="0" showAll="0" defaultSubtotal="0"/>
  </pivotFields>
  <rowFields count="1">
    <field x="1"/>
  </rowFields>
  <rowItems count="11">
    <i>
      <x/>
    </i>
    <i>
      <x v="5"/>
    </i>
    <i>
      <x v="2"/>
    </i>
    <i>
      <x v="9"/>
    </i>
    <i>
      <x v="7"/>
    </i>
    <i>
      <x v="4"/>
    </i>
    <i>
      <x v="1"/>
    </i>
    <i>
      <x v="3"/>
    </i>
    <i>
      <x v="8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atients Count" fld="4" baseField="1" baseItem="0" numFmtId="164"/>
    <dataField name="Sum of Medical Expenses" fld="7" baseField="0" baseItem="0"/>
  </dataFields>
  <formats count="6">
    <format dxfId="3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1"/>
          </reference>
          <reference field="1" count="1">
            <x v="5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30">
      <pivotArea dataOnly="0" labelOnly="1" grandRow="1" outline="0" fieldPosition="0"/>
    </format>
    <format dxfId="29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5" iMeasureFld="1">
      <autoFilter ref="A1">
        <filterColumn colId="0">
          <top10 val="13" filterVal="1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1DFCD-EBEF-47E4-881A-ED8367DB87BB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D2:E7" firstHeaderRow="1" firstDataRow="1" firstDataCol="1"/>
  <pivotFields count="14">
    <pivotField showAll="0"/>
    <pivotField showAll="0"/>
    <pivotField showAll="0"/>
    <pivotField showAll="0"/>
    <pivotField showAll="0"/>
    <pivotField axis="axisRow" numFmtId="14" showAll="0">
      <items count="87">
        <item x="67"/>
        <item x="71"/>
        <item x="50"/>
        <item x="35"/>
        <item x="79"/>
        <item x="72"/>
        <item x="5"/>
        <item x="51"/>
        <item x="60"/>
        <item x="4"/>
        <item x="34"/>
        <item x="19"/>
        <item x="82"/>
        <item x="64"/>
        <item x="24"/>
        <item x="80"/>
        <item x="11"/>
        <item x="16"/>
        <item x="23"/>
        <item x="44"/>
        <item x="47"/>
        <item x="62"/>
        <item x="26"/>
        <item x="21"/>
        <item x="76"/>
        <item x="3"/>
        <item x="70"/>
        <item x="27"/>
        <item x="29"/>
        <item x="42"/>
        <item x="53"/>
        <item x="84"/>
        <item x="37"/>
        <item x="56"/>
        <item x="33"/>
        <item x="39"/>
        <item x="8"/>
        <item x="48"/>
        <item x="55"/>
        <item x="52"/>
        <item x="15"/>
        <item x="73"/>
        <item x="32"/>
        <item x="43"/>
        <item x="77"/>
        <item x="58"/>
        <item x="57"/>
        <item x="6"/>
        <item x="66"/>
        <item x="14"/>
        <item x="61"/>
        <item x="46"/>
        <item x="69"/>
        <item x="31"/>
        <item x="68"/>
        <item x="40"/>
        <item x="10"/>
        <item x="13"/>
        <item x="30"/>
        <item x="65"/>
        <item x="28"/>
        <item x="78"/>
        <item x="7"/>
        <item x="20"/>
        <item x="2"/>
        <item x="75"/>
        <item x="63"/>
        <item x="36"/>
        <item x="22"/>
        <item x="83"/>
        <item x="18"/>
        <item x="25"/>
        <item x="45"/>
        <item x="17"/>
        <item x="41"/>
        <item x="74"/>
        <item x="12"/>
        <item x="81"/>
        <item x="9"/>
        <item x="85"/>
        <item x="0"/>
        <item x="38"/>
        <item x="59"/>
        <item x="54"/>
        <item x="1"/>
        <item x="49"/>
        <item t="default"/>
      </items>
    </pivotField>
    <pivotField axis="axisRow" numFmtId="14" showAll="0">
      <items count="88">
        <item x="73"/>
        <item x="35"/>
        <item x="49"/>
        <item x="74"/>
        <item x="80"/>
        <item x="4"/>
        <item x="50"/>
        <item x="5"/>
        <item x="19"/>
        <item x="83"/>
        <item x="62"/>
        <item x="34"/>
        <item x="24"/>
        <item x="67"/>
        <item x="81"/>
        <item x="11"/>
        <item x="16"/>
        <item x="23"/>
        <item x="64"/>
        <item x="46"/>
        <item x="72"/>
        <item x="26"/>
        <item x="21"/>
        <item x="71"/>
        <item x="27"/>
        <item x="3"/>
        <item x="42"/>
        <item x="29"/>
        <item x="85"/>
        <item x="37"/>
        <item x="52"/>
        <item x="75"/>
        <item x="58"/>
        <item x="39"/>
        <item x="33"/>
        <item x="8"/>
        <item x="55"/>
        <item x="15"/>
        <item x="51"/>
        <item x="76"/>
        <item x="47"/>
        <item x="32"/>
        <item x="43"/>
        <item x="60"/>
        <item x="59"/>
        <item x="6"/>
        <item x="69"/>
        <item x="14"/>
        <item x="45"/>
        <item x="63"/>
        <item x="70"/>
        <item x="31"/>
        <item x="10"/>
        <item x="54"/>
        <item x="30"/>
        <item x="13"/>
        <item x="28"/>
        <item x="79"/>
        <item x="68"/>
        <item x="20"/>
        <item x="7"/>
        <item x="2"/>
        <item x="36"/>
        <item x="78"/>
        <item x="22"/>
        <item x="65"/>
        <item x="18"/>
        <item x="57"/>
        <item x="84"/>
        <item x="25"/>
        <item x="77"/>
        <item x="17"/>
        <item x="12"/>
        <item x="44"/>
        <item x="41"/>
        <item x="9"/>
        <item x="82"/>
        <item x="0"/>
        <item x="86"/>
        <item x="66"/>
        <item x="38"/>
        <item x="61"/>
        <item x="53"/>
        <item x="1"/>
        <item x="40"/>
        <item x="48"/>
        <item x="56"/>
        <item t="default"/>
      </items>
    </pivotField>
    <pivotField dataField="1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measureFilter="1" sortType="ascending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  <pivotField dragToRow="0" dragToCol="0" dragToPage="0" showAll="0" defaultSubtotal="0"/>
  </pivotFields>
  <rowFields count="4">
    <field x="9"/>
    <field x="10"/>
    <field x="5"/>
    <field x="6"/>
  </rowFields>
  <rowItems count="5">
    <i>
      <x v="4"/>
    </i>
    <i>
      <x v="10"/>
    </i>
    <i>
      <x v="6"/>
    </i>
    <i>
      <x v="1"/>
    </i>
    <i>
      <x v="8"/>
    </i>
  </rowItems>
  <colItems count="1">
    <i/>
  </colItems>
  <dataFields count="1">
    <dataField name="Sum of Medical Expenses" fld="7" baseField="0" baseItem="0"/>
  </dataFields>
  <formats count="6">
    <format dxfId="10">
      <pivotArea field="9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grandRow="1" fieldPosition="0"/>
    </format>
    <format dxfId="7">
      <pivotArea dataOnly="0" labelOnly="1" fieldPosition="0">
        <references count="1">
          <reference field="9" count="1">
            <x v="5"/>
          </reference>
        </references>
      </pivotArea>
    </format>
    <format dxfId="6">
      <pivotArea dataOnly="0" labelOnly="1" fieldPosition="0">
        <references count="1">
          <reference field="9" count="1">
            <x v="11"/>
          </reference>
        </references>
      </pivotArea>
    </format>
    <format dxfId="5">
      <pivotArea dataOnly="0" labelOnly="1" fieldPosition="0">
        <references count="1">
          <reference field="9" count="1">
            <x v="4"/>
          </reference>
        </references>
      </pivotArea>
    </format>
  </formats>
  <pivotTableStyleInfo name="PivotStyleLight16" showRowHeaders="1" showColHeaders="1" showRowStripes="0" showColStripes="0" showLastColumn="1"/>
  <filters count="1">
    <filter fld="9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668B2-DE84-4CE7-944A-B407594CE4C7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>
  <location ref="A2:B7" firstHeaderRow="1" firstDataRow="1" firstDataCol="1"/>
  <pivotFields count="14">
    <pivotField showAll="0"/>
    <pivotField showAll="0"/>
    <pivotField showAll="0"/>
    <pivotField showAll="0"/>
    <pivotField showAll="0"/>
    <pivotField axis="axisRow" numFmtId="14" showAll="0">
      <items count="87">
        <item x="67"/>
        <item x="71"/>
        <item x="50"/>
        <item x="35"/>
        <item x="79"/>
        <item x="72"/>
        <item x="5"/>
        <item x="51"/>
        <item x="60"/>
        <item x="4"/>
        <item x="34"/>
        <item x="19"/>
        <item x="82"/>
        <item x="64"/>
        <item x="24"/>
        <item x="80"/>
        <item x="11"/>
        <item x="16"/>
        <item x="23"/>
        <item x="44"/>
        <item x="47"/>
        <item x="62"/>
        <item x="26"/>
        <item x="21"/>
        <item x="76"/>
        <item x="3"/>
        <item x="70"/>
        <item x="27"/>
        <item x="29"/>
        <item x="42"/>
        <item x="53"/>
        <item x="84"/>
        <item x="37"/>
        <item x="56"/>
        <item x="33"/>
        <item x="39"/>
        <item x="8"/>
        <item x="48"/>
        <item x="55"/>
        <item x="52"/>
        <item x="15"/>
        <item x="73"/>
        <item x="32"/>
        <item x="43"/>
        <item x="77"/>
        <item x="58"/>
        <item x="57"/>
        <item x="6"/>
        <item x="66"/>
        <item x="14"/>
        <item x="61"/>
        <item x="46"/>
        <item x="69"/>
        <item x="31"/>
        <item x="68"/>
        <item x="40"/>
        <item x="10"/>
        <item x="13"/>
        <item x="30"/>
        <item x="65"/>
        <item x="28"/>
        <item x="78"/>
        <item x="7"/>
        <item x="20"/>
        <item x="2"/>
        <item x="75"/>
        <item x="63"/>
        <item x="36"/>
        <item x="22"/>
        <item x="83"/>
        <item x="18"/>
        <item x="25"/>
        <item x="45"/>
        <item x="17"/>
        <item x="41"/>
        <item x="74"/>
        <item x="12"/>
        <item x="81"/>
        <item sd="0" x="9"/>
        <item x="85"/>
        <item x="0"/>
        <item x="38"/>
        <item x="59"/>
        <item x="54"/>
        <item x="1"/>
        <item x="49"/>
        <item t="default"/>
      </items>
    </pivotField>
    <pivotField axis="axisRow" numFmtId="14" showAll="0">
      <items count="88">
        <item x="73"/>
        <item x="35"/>
        <item x="49"/>
        <item x="74"/>
        <item x="80"/>
        <item x="4"/>
        <item x="50"/>
        <item x="5"/>
        <item x="19"/>
        <item x="83"/>
        <item x="62"/>
        <item x="34"/>
        <item x="24"/>
        <item x="67"/>
        <item x="81"/>
        <item x="11"/>
        <item x="16"/>
        <item x="23"/>
        <item x="64"/>
        <item x="46"/>
        <item x="72"/>
        <item x="26"/>
        <item x="21"/>
        <item x="71"/>
        <item x="27"/>
        <item x="3"/>
        <item x="42"/>
        <item x="29"/>
        <item x="85"/>
        <item x="37"/>
        <item x="52"/>
        <item x="75"/>
        <item x="58"/>
        <item x="39"/>
        <item x="33"/>
        <item x="8"/>
        <item x="55"/>
        <item x="15"/>
        <item x="51"/>
        <item x="76"/>
        <item x="47"/>
        <item x="32"/>
        <item x="43"/>
        <item x="60"/>
        <item x="59"/>
        <item x="6"/>
        <item x="69"/>
        <item x="14"/>
        <item x="45"/>
        <item x="63"/>
        <item x="70"/>
        <item x="31"/>
        <item x="10"/>
        <item x="54"/>
        <item x="30"/>
        <item x="13"/>
        <item x="28"/>
        <item x="79"/>
        <item x="68"/>
        <item x="20"/>
        <item x="7"/>
        <item x="2"/>
        <item x="36"/>
        <item x="78"/>
        <item x="22"/>
        <item x="65"/>
        <item x="18"/>
        <item x="57"/>
        <item x="84"/>
        <item x="25"/>
        <item x="77"/>
        <item x="17"/>
        <item x="12"/>
        <item x="44"/>
        <item x="41"/>
        <item x="9"/>
        <item x="82"/>
        <item x="0"/>
        <item x="86"/>
        <item x="66"/>
        <item x="38"/>
        <item x="61"/>
        <item x="53"/>
        <item x="1"/>
        <item x="40"/>
        <item x="48"/>
        <item x="56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measureFilter="1" sortType="descending">
      <items count="15">
        <item x="0"/>
        <item x="1"/>
        <item sd="0" x="2"/>
        <item x="3"/>
        <item x="4"/>
        <item sd="0" x="5"/>
        <item x="6"/>
        <item x="7"/>
        <item x="8"/>
        <item sd="0" x="9"/>
        <item x="10"/>
        <item sd="0" x="11"/>
        <item sd="0"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</pivotFields>
  <rowFields count="4">
    <field x="9"/>
    <field x="5"/>
    <field x="6"/>
    <field x="10"/>
  </rowFields>
  <rowItems count="5">
    <i>
      <x v="9"/>
    </i>
    <i>
      <x v="12"/>
    </i>
    <i>
      <x v="11"/>
    </i>
    <i>
      <x v="2"/>
    </i>
    <i>
      <x v="5"/>
    </i>
  </rowItems>
  <colItems count="1">
    <i/>
  </colItems>
  <dataFields count="1">
    <dataField name="Sum of Medical Expenses" fld="7" baseField="0" baseItem="0"/>
  </dataFields>
  <formats count="12">
    <format dxfId="22">
      <pivotArea dataOnly="0" labelOnly="1" outline="0" axis="axisValues" fieldPosition="0"/>
    </format>
    <format dxfId="21">
      <pivotArea field="9" type="button" dataOnly="0" labelOnly="1" outline="0" axis="axisRow" fieldPosition="0"/>
    </format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8">
      <pivotArea collapsedLevelsAreSubtotals="1" fieldPosition="0">
        <references count="1">
          <reference field="9" count="1">
            <x v="9"/>
          </reference>
        </references>
      </pivotArea>
    </format>
    <format dxfId="17">
      <pivotArea collapsedLevelsAreSubtotals="1" fieldPosition="0">
        <references count="1">
          <reference field="9" count="1">
            <x v="12"/>
          </reference>
        </references>
      </pivotArea>
    </format>
    <format dxfId="16">
      <pivotArea collapsedLevelsAreSubtotals="1" fieldPosition="0">
        <references count="1">
          <reference field="9" count="1">
            <x v="11"/>
          </reference>
        </references>
      </pivotArea>
    </format>
    <format dxfId="15">
      <pivotArea collapsedLevelsAreSubtotals="1" fieldPosition="0">
        <references count="1">
          <reference field="9" count="1">
            <x v="2"/>
          </reference>
        </references>
      </pivotArea>
    </format>
    <format dxfId="14">
      <pivotArea collapsedLevelsAreSubtotals="1" fieldPosition="0">
        <references count="1">
          <reference field="9" count="1">
            <x v="5"/>
          </reference>
        </references>
      </pivotArea>
    </format>
    <format dxfId="13">
      <pivotArea dataOnly="0" labelOnly="1" fieldPosition="0">
        <references count="1">
          <reference field="9" count="5">
            <x v="2"/>
            <x v="5"/>
            <x v="9"/>
            <x v="11"/>
            <x v="12"/>
          </reference>
        </references>
      </pivotArea>
    </format>
    <format dxfId="12">
      <pivotArea collapsedLevelsAreSubtotals="1" fieldPosition="0">
        <references count="1">
          <reference field="9" count="1">
            <x v="11"/>
          </reference>
        </references>
      </pivotArea>
    </format>
    <format dxfId="11">
      <pivotArea dataOnly="0" labelOnly="1" fieldPosition="0">
        <references count="1">
          <reference field="9" count="1">
            <x v="1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9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E71CA-9F22-479E-88D8-2A18728EEC2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2:H15" firstHeaderRow="1" firstDataRow="1" firstDataCol="1"/>
  <pivotFields count="14">
    <pivotField showAll="0"/>
    <pivotField showAll="0"/>
    <pivotField showAll="0"/>
    <pivotField showAll="0"/>
    <pivotField showAll="0"/>
    <pivotField axis="axisRow" numFmtId="14" showAll="0">
      <items count="87">
        <item x="67"/>
        <item x="71"/>
        <item x="50"/>
        <item x="35"/>
        <item x="79"/>
        <item x="72"/>
        <item x="5"/>
        <item x="51"/>
        <item x="60"/>
        <item x="4"/>
        <item x="34"/>
        <item x="19"/>
        <item x="82"/>
        <item x="64"/>
        <item x="24"/>
        <item x="80"/>
        <item x="11"/>
        <item x="16"/>
        <item x="23"/>
        <item x="44"/>
        <item x="47"/>
        <item x="62"/>
        <item x="26"/>
        <item x="21"/>
        <item x="76"/>
        <item x="3"/>
        <item x="70"/>
        <item x="27"/>
        <item x="29"/>
        <item x="42"/>
        <item x="53"/>
        <item x="84"/>
        <item x="37"/>
        <item x="56"/>
        <item x="33"/>
        <item x="39"/>
        <item x="8"/>
        <item x="48"/>
        <item x="55"/>
        <item x="52"/>
        <item x="15"/>
        <item x="73"/>
        <item x="32"/>
        <item x="43"/>
        <item x="77"/>
        <item x="58"/>
        <item x="57"/>
        <item x="6"/>
        <item x="66"/>
        <item x="14"/>
        <item x="61"/>
        <item x="46"/>
        <item x="69"/>
        <item x="31"/>
        <item x="68"/>
        <item x="40"/>
        <item x="10"/>
        <item x="13"/>
        <item x="30"/>
        <item x="65"/>
        <item x="28"/>
        <item x="78"/>
        <item x="7"/>
        <item x="20"/>
        <item x="2"/>
        <item x="75"/>
        <item x="63"/>
        <item x="36"/>
        <item x="22"/>
        <item x="83"/>
        <item x="18"/>
        <item x="25"/>
        <item x="45"/>
        <item x="17"/>
        <item x="41"/>
        <item x="74"/>
        <item x="12"/>
        <item x="81"/>
        <item x="9"/>
        <item x="85"/>
        <item x="0"/>
        <item x="38"/>
        <item x="59"/>
        <item x="54"/>
        <item x="1"/>
        <item x="49"/>
        <item t="default"/>
      </items>
    </pivotField>
    <pivotField axis="axisRow" numFmtId="14" showAll="0">
      <items count="88">
        <item x="73"/>
        <item x="35"/>
        <item x="49"/>
        <item x="74"/>
        <item x="80"/>
        <item x="4"/>
        <item x="50"/>
        <item x="5"/>
        <item x="19"/>
        <item x="83"/>
        <item x="62"/>
        <item x="34"/>
        <item x="24"/>
        <item x="67"/>
        <item x="81"/>
        <item x="11"/>
        <item x="16"/>
        <item x="23"/>
        <item x="64"/>
        <item x="46"/>
        <item x="72"/>
        <item x="26"/>
        <item x="21"/>
        <item x="71"/>
        <item x="27"/>
        <item x="3"/>
        <item x="42"/>
        <item x="29"/>
        <item x="85"/>
        <item x="37"/>
        <item x="52"/>
        <item x="75"/>
        <item x="58"/>
        <item x="39"/>
        <item x="33"/>
        <item x="8"/>
        <item x="55"/>
        <item x="15"/>
        <item x="51"/>
        <item x="76"/>
        <item x="47"/>
        <item x="32"/>
        <item x="43"/>
        <item x="60"/>
        <item x="59"/>
        <item x="6"/>
        <item x="69"/>
        <item x="14"/>
        <item x="45"/>
        <item x="63"/>
        <item x="70"/>
        <item x="31"/>
        <item x="10"/>
        <item x="54"/>
        <item x="30"/>
        <item x="13"/>
        <item x="28"/>
        <item x="79"/>
        <item x="68"/>
        <item x="20"/>
        <item x="7"/>
        <item x="2"/>
        <item x="36"/>
        <item x="78"/>
        <item x="22"/>
        <item x="65"/>
        <item x="18"/>
        <item x="57"/>
        <item x="84"/>
        <item x="25"/>
        <item x="77"/>
        <item x="17"/>
        <item x="12"/>
        <item x="44"/>
        <item x="41"/>
        <item x="9"/>
        <item x="82"/>
        <item x="0"/>
        <item x="86"/>
        <item x="66"/>
        <item x="38"/>
        <item x="61"/>
        <item x="53"/>
        <item x="1"/>
        <item x="40"/>
        <item x="48"/>
        <item x="56"/>
        <item t="default"/>
      </items>
    </pivotField>
    <pivotField dataField="1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  <pivotField dragToRow="0" dragToCol="0" dragToPage="0" showAll="0" defaultSubtotal="0"/>
  </pivotFields>
  <rowFields count="4">
    <field x="9"/>
    <field x="10"/>
    <field x="5"/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Medical Expenses" fld="7" baseField="0" baseItem="0"/>
  </dataFields>
  <formats count="6">
    <format dxfId="28">
      <pivotArea field="9" type="button" dataOnly="0" labelOnly="1" outline="0" axis="axisRow" fieldPosition="0"/>
    </format>
    <format dxfId="27">
      <pivotArea dataOnly="0" labelOnly="1" grandRow="1" outline="0" fieldPosition="0"/>
    </format>
    <format dxfId="26">
      <pivotArea dataOnly="0" labelOnly="1" fieldPosition="0">
        <references count="1">
          <reference field="9" count="1">
            <x v="1"/>
          </reference>
        </references>
      </pivotArea>
    </format>
    <format dxfId="25">
      <pivotArea dataOnly="0" labelOnly="1" fieldPosition="0">
        <references count="1">
          <reference field="9" count="1">
            <x v="6"/>
          </reference>
        </references>
      </pivotArea>
    </format>
    <format dxfId="24">
      <pivotArea dataOnly="0" labelOnly="1" fieldPosition="0">
        <references count="1">
          <reference field="9" count="1">
            <x v="11"/>
          </reference>
        </references>
      </pivotArea>
    </format>
    <format dxfId="23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B79E3-F6B9-42B0-99B8-4A29BA2255A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3" firstHeaderRow="0" firstDataRow="1" firstDataCol="1"/>
  <pivotFields count="14">
    <pivotField axis="axisRow" showAll="0" sortType="ascending">
      <items count="11">
        <item x="5"/>
        <item x="3"/>
        <item x="1"/>
        <item x="4"/>
        <item x="6"/>
        <item x="7"/>
        <item x="2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dataField="1" showAll="0"/>
    <pivotField numFmtId="14" showAll="0">
      <items count="87">
        <item x="67"/>
        <item x="71"/>
        <item x="50"/>
        <item x="35"/>
        <item x="79"/>
        <item x="72"/>
        <item x="5"/>
        <item x="51"/>
        <item x="60"/>
        <item x="4"/>
        <item x="34"/>
        <item x="19"/>
        <item x="82"/>
        <item x="64"/>
        <item x="24"/>
        <item x="80"/>
        <item x="11"/>
        <item x="16"/>
        <item x="23"/>
        <item x="44"/>
        <item x="47"/>
        <item x="62"/>
        <item x="26"/>
        <item x="21"/>
        <item x="76"/>
        <item x="3"/>
        <item x="70"/>
        <item x="27"/>
        <item x="29"/>
        <item x="42"/>
        <item x="53"/>
        <item x="84"/>
        <item x="37"/>
        <item x="56"/>
        <item x="33"/>
        <item x="39"/>
        <item x="8"/>
        <item x="48"/>
        <item x="55"/>
        <item x="52"/>
        <item x="15"/>
        <item x="73"/>
        <item x="32"/>
        <item x="43"/>
        <item x="77"/>
        <item x="58"/>
        <item x="57"/>
        <item x="6"/>
        <item x="66"/>
        <item x="14"/>
        <item x="61"/>
        <item x="46"/>
        <item x="69"/>
        <item x="31"/>
        <item x="68"/>
        <item x="40"/>
        <item x="10"/>
        <item x="13"/>
        <item x="30"/>
        <item x="65"/>
        <item x="28"/>
        <item x="78"/>
        <item x="7"/>
        <item x="20"/>
        <item x="2"/>
        <item x="75"/>
        <item x="63"/>
        <item x="36"/>
        <item x="22"/>
        <item x="83"/>
        <item x="18"/>
        <item x="25"/>
        <item x="45"/>
        <item x="17"/>
        <item x="41"/>
        <item x="74"/>
        <item x="12"/>
        <item x="81"/>
        <item x="9"/>
        <item x="85"/>
        <item x="0"/>
        <item x="38"/>
        <item x="59"/>
        <item x="54"/>
        <item x="1"/>
        <item x="49"/>
        <item t="default"/>
      </items>
    </pivotField>
    <pivotField numFmtId="14" showAll="0">
      <items count="88">
        <item x="73"/>
        <item x="35"/>
        <item x="49"/>
        <item x="74"/>
        <item x="80"/>
        <item x="4"/>
        <item x="50"/>
        <item x="5"/>
        <item x="19"/>
        <item x="83"/>
        <item x="62"/>
        <item x="34"/>
        <item x="24"/>
        <item x="67"/>
        <item x="81"/>
        <item x="11"/>
        <item x="16"/>
        <item x="23"/>
        <item x="64"/>
        <item x="46"/>
        <item x="72"/>
        <item x="26"/>
        <item x="21"/>
        <item x="71"/>
        <item x="27"/>
        <item x="3"/>
        <item x="42"/>
        <item x="29"/>
        <item x="85"/>
        <item x="37"/>
        <item x="52"/>
        <item x="75"/>
        <item x="58"/>
        <item x="39"/>
        <item x="33"/>
        <item x="8"/>
        <item x="55"/>
        <item x="15"/>
        <item x="51"/>
        <item x="76"/>
        <item x="47"/>
        <item x="32"/>
        <item x="43"/>
        <item x="60"/>
        <item x="59"/>
        <item x="6"/>
        <item x="69"/>
        <item x="14"/>
        <item x="45"/>
        <item x="63"/>
        <item x="70"/>
        <item x="31"/>
        <item x="10"/>
        <item x="54"/>
        <item x="30"/>
        <item x="13"/>
        <item x="28"/>
        <item x="79"/>
        <item x="68"/>
        <item x="20"/>
        <item x="7"/>
        <item x="2"/>
        <item x="36"/>
        <item x="78"/>
        <item x="22"/>
        <item x="65"/>
        <item x="18"/>
        <item x="57"/>
        <item x="84"/>
        <item x="25"/>
        <item x="77"/>
        <item x="17"/>
        <item x="12"/>
        <item x="44"/>
        <item x="41"/>
        <item x="9"/>
        <item x="82"/>
        <item x="0"/>
        <item x="86"/>
        <item x="66"/>
        <item x="38"/>
        <item x="61"/>
        <item x="53"/>
        <item x="1"/>
        <item x="40"/>
        <item x="48"/>
        <item x="56"/>
        <item t="default"/>
      </items>
    </pivotField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ataField="1" dragToRow="0" dragToCol="0" dragToPage="0" showAll="0" defaultSubtotal="0"/>
  </pivotFields>
  <rowFields count="1">
    <field x="0"/>
  </rowFields>
  <rowItems count="11">
    <i>
      <x v="6"/>
    </i>
    <i>
      <x v="4"/>
    </i>
    <i>
      <x/>
    </i>
    <i>
      <x v="9"/>
    </i>
    <i>
      <x v="7"/>
    </i>
    <i>
      <x v="5"/>
    </i>
    <i>
      <x v="3"/>
    </i>
    <i>
      <x v="2"/>
    </i>
    <i>
      <x v="1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edical Expenses" fld="7" baseField="0" baseItem="0"/>
    <dataField name="Sum of Patients Count" fld="4" baseField="0" baseItem="0"/>
    <dataField name="Sum of Cost Per Patients" fld="13" baseField="0" baseItem="0" numFmtId="43"/>
  </dataFields>
  <formats count="13">
    <format dxfId="5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7">
      <pivotArea dataOnly="0" labelOnly="1" grandRow="1" outline="0" fieldPosition="0"/>
    </format>
    <format dxfId="56">
      <pivotArea dataOnly="0" labelOnly="1" grandRow="1" outline="0" fieldPosition="0"/>
    </format>
    <format dxfId="55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54">
      <pivotArea field="0" type="button" dataOnly="0" labelOnly="1" outline="0" axis="axisRow" fieldPosition="0"/>
    </format>
    <format dxfId="5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1">
      <pivotArea dataOnly="0" labelOnly="1" fieldPosition="0">
        <references count="1">
          <reference field="0" count="0"/>
        </references>
      </pivotArea>
    </format>
    <format dxfId="50">
      <pivotArea collapsedLevelsAreSubtotals="1" fieldPosition="0">
        <references count="1">
          <reference field="0" count="0"/>
        </references>
      </pivotArea>
    </format>
    <format dxfId="49">
      <pivotArea dataOnly="0" labelOnly="1" fieldPosition="0">
        <references count="1">
          <reference field="0" count="0"/>
        </references>
      </pivotArea>
    </format>
    <format dxfId="4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7">
      <pivotArea dataOnly="0" labelOnly="1" grandRow="1" outline="0" fieldPosition="0"/>
    </format>
    <format dxfId="46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A3814-DC74-47F1-82E8-814F3EFF80F4}" name="PivotTable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2:B13" firstHeaderRow="1" firstDataRow="1" firstDataCol="1"/>
  <pivotFields count="9">
    <pivotField showAll="0"/>
    <pivotField showAll="0"/>
    <pivotField axis="axisRow" showAll="0" sortType="descending">
      <items count="11">
        <item x="3"/>
        <item x="2"/>
        <item x="0"/>
        <item x="5"/>
        <item x="9"/>
        <item x="4"/>
        <item x="6"/>
        <item x="1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numFmtId="14" showAll="0"/>
    <pivotField showAll="0"/>
    <pivotField dataField="1" showAll="0"/>
  </pivotFields>
  <rowFields count="1">
    <field x="2"/>
  </rowFields>
  <rowItems count="11">
    <i>
      <x v="4"/>
    </i>
    <i>
      <x v="1"/>
    </i>
    <i>
      <x/>
    </i>
    <i>
      <x v="3"/>
    </i>
    <i>
      <x v="7"/>
    </i>
    <i>
      <x v="5"/>
    </i>
    <i>
      <x v="6"/>
    </i>
    <i>
      <x v="2"/>
    </i>
    <i>
      <x v="9"/>
    </i>
    <i>
      <x v="8"/>
    </i>
    <i t="grand">
      <x/>
    </i>
  </rowItems>
  <colItems count="1">
    <i/>
  </colItems>
  <dataFields count="1">
    <dataField name="Average of Stay Duration" fld="8" subtotal="average" baseField="2" baseItem="6" numFmtId="2"/>
  </dataFields>
  <formats count="2">
    <format dxfId="1">
      <pivotArea collapsedLevelsAreSubtotals="1" fieldPosition="0">
        <references count="1">
          <reference field="2" count="1">
            <x v="3"/>
          </reference>
        </references>
      </pivotArea>
    </format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75C1E-745C-45F8-9D2E-30011EDE5B7B}" name="PivotTable20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13" firstHeaderRow="0" firstDataRow="1" firstDataCol="1"/>
  <pivotFields count="9">
    <pivotField showAll="0"/>
    <pivotField axis="axisRow" showAll="0">
      <items count="11">
        <item x="2"/>
        <item x="9"/>
        <item x="0"/>
        <item x="8"/>
        <item x="3"/>
        <item x="5"/>
        <item x="4"/>
        <item x="7"/>
        <item x="6"/>
        <item x="1"/>
        <item t="default"/>
      </items>
    </pivotField>
    <pivotField showAll="0"/>
    <pivotField showAll="0"/>
    <pivotField dataField="1" showAll="0"/>
    <pivotField numFmtId="14" showAll="0"/>
    <pivotField numFmtId="14" showAll="0"/>
    <pivotField dataField="1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atients Count" fld="4" baseField="0" baseItem="0"/>
    <dataField name="Sum of Medical Expenses" fld="7" baseField="0" baseItem="0" numFmtId="43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2725C2-78E9-4B0E-BF3B-16DBB4DCC9ED}" name="Table1" displayName="Table1" ref="A1:I101" totalsRowShown="0" headerRowDxfId="45" headerRowBorderDxfId="44" tableBorderDxfId="43" totalsRowBorderDxfId="42">
  <autoFilter ref="A1:I101" xr:uid="{392725C2-78E9-4B0E-BF3B-16DBB4DCC9ED}"/>
  <tableColumns count="9">
    <tableColumn id="1" xr3:uid="{2DDC9FDA-4080-406C-AA00-FC598B4242AE}" name="Hospital Name" dataDxfId="41"/>
    <tableColumn id="2" xr3:uid="{42D19B21-3A4A-4D84-8EF2-BD19618A4D13}" name="Location" dataDxfId="40"/>
    <tableColumn id="3" xr3:uid="{10454F62-FBB1-488B-A924-5C7A518455C7}" name="Department" dataDxfId="39"/>
    <tableColumn id="4" xr3:uid="{449B3300-A9AE-457B-82F8-C33D1B84B29B}" name="Doctors Count" dataDxfId="38"/>
    <tableColumn id="5" xr3:uid="{CFCCE66D-46F8-4BB4-965E-E933DED940B0}" name="Patients Count" dataDxfId="37"/>
    <tableColumn id="6" xr3:uid="{2AA325D7-E0AE-4687-AF7F-A4C52A6145C3}" name="Admission Date" dataDxfId="36"/>
    <tableColumn id="7" xr3:uid="{43FA6D5F-E06C-4A2C-BFE3-8C7F7E72F4DD}" name="Discharge Date" dataDxfId="35"/>
    <tableColumn id="8" xr3:uid="{1B440BFA-8B36-46F8-BCE4-C88E55B751C2}" name="Medical Expenses" dataDxfId="3"/>
    <tableColumn id="9" xr3:uid="{2DC45035-5CEF-41FE-887B-8737EDBEF49A}" name="Stay Duration" dataDxfId="4">
      <calculatedColumnFormula>Table1[[#This Row],[Discharge Date]]-Table1[[#This Row],[Admission Date]]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76531-E603-4D9A-9ABD-9BB581B13928}">
  <sheetPr codeName="Sheet1"/>
  <dimension ref="A1:L101"/>
  <sheetViews>
    <sheetView tabSelected="1" topLeftCell="B1" workbookViewId="0">
      <selection activeCell="K15" sqref="K15"/>
    </sheetView>
  </sheetViews>
  <sheetFormatPr defaultRowHeight="14.4" x14ac:dyDescent="0.3"/>
  <cols>
    <col min="1" max="1" width="20" bestFit="1" customWidth="1"/>
    <col min="2" max="2" width="11.6640625" bestFit="1" customWidth="1"/>
    <col min="3" max="3" width="16.44140625" bestFit="1" customWidth="1"/>
    <col min="4" max="4" width="16.33203125" customWidth="1"/>
    <col min="5" max="5" width="16.5546875" customWidth="1"/>
    <col min="6" max="6" width="17.33203125" customWidth="1"/>
    <col min="7" max="7" width="16.88671875" customWidth="1"/>
    <col min="8" max="8" width="19.33203125" customWidth="1"/>
    <col min="9" max="9" width="14.33203125" bestFit="1" customWidth="1"/>
    <col min="11" max="11" width="25.77734375" bestFit="1" customWidth="1"/>
  </cols>
  <sheetData>
    <row r="1" spans="1:12" x14ac:dyDescent="0.3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1" t="s">
        <v>7</v>
      </c>
      <c r="I1" s="20" t="s">
        <v>59</v>
      </c>
      <c r="J1" s="27"/>
      <c r="K1" s="27"/>
      <c r="L1" s="27"/>
    </row>
    <row r="2" spans="1:12" x14ac:dyDescent="0.3">
      <c r="A2" s="13" t="s">
        <v>8</v>
      </c>
      <c r="B2" s="1" t="s">
        <v>9</v>
      </c>
      <c r="C2" s="1" t="s">
        <v>10</v>
      </c>
      <c r="D2" s="1">
        <v>47</v>
      </c>
      <c r="E2" s="1">
        <v>182</v>
      </c>
      <c r="F2" s="2">
        <v>45273</v>
      </c>
      <c r="G2" s="2">
        <v>45274</v>
      </c>
      <c r="H2" s="14">
        <v>31364.880000000001</v>
      </c>
      <c r="I2">
        <f>Table1[[#This Row],[Discharge Date]]-Table1[[#This Row],[Admission Date]]</f>
        <v>1</v>
      </c>
    </row>
    <row r="3" spans="1:12" x14ac:dyDescent="0.3">
      <c r="A3" s="13" t="s">
        <v>11</v>
      </c>
      <c r="B3" s="1" t="s">
        <v>12</v>
      </c>
      <c r="C3" s="1" t="s">
        <v>13</v>
      </c>
      <c r="D3" s="1">
        <v>15</v>
      </c>
      <c r="E3" s="1">
        <v>51</v>
      </c>
      <c r="F3" s="2">
        <v>45289</v>
      </c>
      <c r="G3" s="2">
        <v>45300</v>
      </c>
      <c r="H3" s="14">
        <v>47280.19</v>
      </c>
      <c r="I3">
        <f>Table1[[#This Row],[Discharge Date]]-Table1[[#This Row],[Admission Date]]</f>
        <v>11</v>
      </c>
    </row>
    <row r="4" spans="1:12" x14ac:dyDescent="0.3">
      <c r="A4" s="13" t="s">
        <v>8</v>
      </c>
      <c r="B4" s="1" t="s">
        <v>14</v>
      </c>
      <c r="C4" s="1" t="s">
        <v>15</v>
      </c>
      <c r="D4" s="1">
        <v>20</v>
      </c>
      <c r="E4" s="1">
        <v>120</v>
      </c>
      <c r="F4" s="2">
        <v>45206</v>
      </c>
      <c r="G4" s="2">
        <v>45220</v>
      </c>
      <c r="H4" s="14">
        <v>28574.720000000001</v>
      </c>
      <c r="I4">
        <f>Table1[[#This Row],[Discharge Date]]-Table1[[#This Row],[Admission Date]]</f>
        <v>14</v>
      </c>
    </row>
    <row r="5" spans="1:12" x14ac:dyDescent="0.3">
      <c r="A5" s="13" t="s">
        <v>16</v>
      </c>
      <c r="B5" s="1" t="s">
        <v>17</v>
      </c>
      <c r="C5" s="1" t="s">
        <v>18</v>
      </c>
      <c r="D5" s="1">
        <v>8</v>
      </c>
      <c r="E5" s="1">
        <v>172</v>
      </c>
      <c r="F5" s="2">
        <v>45045</v>
      </c>
      <c r="G5" s="2">
        <v>45057</v>
      </c>
      <c r="H5" s="14">
        <v>7000.83</v>
      </c>
      <c r="I5">
        <f>Table1[[#This Row],[Discharge Date]]-Table1[[#This Row],[Admission Date]]</f>
        <v>12</v>
      </c>
    </row>
    <row r="6" spans="1:12" x14ac:dyDescent="0.3">
      <c r="A6" s="13" t="s">
        <v>19</v>
      </c>
      <c r="B6" s="1" t="s">
        <v>20</v>
      </c>
      <c r="C6" s="1" t="s">
        <v>21</v>
      </c>
      <c r="D6" s="1">
        <v>35</v>
      </c>
      <c r="E6" s="1">
        <v>76</v>
      </c>
      <c r="F6" s="2">
        <v>44967</v>
      </c>
      <c r="G6" s="2">
        <v>44969</v>
      </c>
      <c r="H6" s="14">
        <v>47210.46</v>
      </c>
      <c r="I6">
        <f>Table1[[#This Row],[Discharge Date]]-Table1[[#This Row],[Admission Date]]</f>
        <v>2</v>
      </c>
    </row>
    <row r="7" spans="1:12" x14ac:dyDescent="0.3">
      <c r="A7" s="13" t="s">
        <v>16</v>
      </c>
      <c r="B7" s="1" t="s">
        <v>17</v>
      </c>
      <c r="C7" s="1" t="s">
        <v>22</v>
      </c>
      <c r="D7" s="1">
        <v>11</v>
      </c>
      <c r="E7" s="1">
        <v>76</v>
      </c>
      <c r="F7" s="2">
        <v>44962</v>
      </c>
      <c r="G7" s="2">
        <v>44974</v>
      </c>
      <c r="H7" s="14">
        <v>18612.34</v>
      </c>
      <c r="I7">
        <f>Table1[[#This Row],[Discharge Date]]-Table1[[#This Row],[Admission Date]]</f>
        <v>12</v>
      </c>
    </row>
    <row r="8" spans="1:12" x14ac:dyDescent="0.3">
      <c r="A8" s="13" t="s">
        <v>23</v>
      </c>
      <c r="B8" s="1" t="s">
        <v>14</v>
      </c>
      <c r="C8" s="1" t="s">
        <v>22</v>
      </c>
      <c r="D8" s="1">
        <v>22</v>
      </c>
      <c r="E8" s="1">
        <v>99</v>
      </c>
      <c r="F8" s="2">
        <v>45139</v>
      </c>
      <c r="G8" s="2">
        <v>45144</v>
      </c>
      <c r="H8" s="14">
        <v>47808.55</v>
      </c>
      <c r="I8">
        <f>Table1[[#This Row],[Discharge Date]]-Table1[[#This Row],[Admission Date]]</f>
        <v>5</v>
      </c>
    </row>
    <row r="9" spans="1:12" x14ac:dyDescent="0.3">
      <c r="A9" s="13" t="s">
        <v>24</v>
      </c>
      <c r="B9" s="1" t="s">
        <v>25</v>
      </c>
      <c r="C9" s="1" t="s">
        <v>26</v>
      </c>
      <c r="D9" s="1">
        <v>37</v>
      </c>
      <c r="E9" s="1">
        <v>173</v>
      </c>
      <c r="F9" s="2">
        <v>45200</v>
      </c>
      <c r="G9" s="2">
        <v>45211</v>
      </c>
      <c r="H9" s="14">
        <v>12284.65</v>
      </c>
      <c r="I9">
        <f>Table1[[#This Row],[Discharge Date]]-Table1[[#This Row],[Admission Date]]</f>
        <v>11</v>
      </c>
    </row>
    <row r="10" spans="1:12" x14ac:dyDescent="0.3">
      <c r="A10" s="13" t="s">
        <v>16</v>
      </c>
      <c r="B10" s="1" t="s">
        <v>25</v>
      </c>
      <c r="C10" s="1" t="s">
        <v>13</v>
      </c>
      <c r="D10" s="1">
        <v>9</v>
      </c>
      <c r="E10" s="1">
        <v>198</v>
      </c>
      <c r="F10" s="2">
        <v>45089</v>
      </c>
      <c r="G10" s="2">
        <v>45095</v>
      </c>
      <c r="H10" s="14">
        <v>14650.23</v>
      </c>
      <c r="I10">
        <f>Table1[[#This Row],[Discharge Date]]-Table1[[#This Row],[Admission Date]]</f>
        <v>6</v>
      </c>
    </row>
    <row r="11" spans="1:12" x14ac:dyDescent="0.3">
      <c r="A11" s="13" t="s">
        <v>27</v>
      </c>
      <c r="B11" s="1" t="s">
        <v>12</v>
      </c>
      <c r="C11" s="1" t="s">
        <v>15</v>
      </c>
      <c r="D11" s="1">
        <v>30</v>
      </c>
      <c r="E11" s="1">
        <v>107</v>
      </c>
      <c r="F11" s="2">
        <v>45267</v>
      </c>
      <c r="G11" s="2">
        <v>45268</v>
      </c>
      <c r="H11" s="14">
        <v>30006.959999999999</v>
      </c>
      <c r="I11">
        <f>Table1[[#This Row],[Discharge Date]]-Table1[[#This Row],[Admission Date]]</f>
        <v>1</v>
      </c>
    </row>
    <row r="12" spans="1:12" x14ac:dyDescent="0.3">
      <c r="A12" s="13" t="s">
        <v>28</v>
      </c>
      <c r="B12" s="1" t="s">
        <v>29</v>
      </c>
      <c r="C12" s="1" t="s">
        <v>30</v>
      </c>
      <c r="D12" s="1">
        <v>39</v>
      </c>
      <c r="E12" s="1">
        <v>70</v>
      </c>
      <c r="F12" s="2">
        <v>45182</v>
      </c>
      <c r="G12" s="2">
        <v>45184</v>
      </c>
      <c r="H12" s="14">
        <v>13282.51</v>
      </c>
      <c r="I12">
        <f>Table1[[#This Row],[Discharge Date]]-Table1[[#This Row],[Admission Date]]</f>
        <v>2</v>
      </c>
    </row>
    <row r="13" spans="1:12" x14ac:dyDescent="0.3">
      <c r="A13" s="13" t="s">
        <v>11</v>
      </c>
      <c r="B13" s="1" t="s">
        <v>25</v>
      </c>
      <c r="C13" s="1" t="s">
        <v>18</v>
      </c>
      <c r="D13" s="1">
        <v>22</v>
      </c>
      <c r="E13" s="1">
        <v>38</v>
      </c>
      <c r="F13" s="2">
        <v>44997</v>
      </c>
      <c r="G13" s="2">
        <v>45010</v>
      </c>
      <c r="H13" s="14">
        <v>13481.9</v>
      </c>
      <c r="I13">
        <f>Table1[[#This Row],[Discharge Date]]-Table1[[#This Row],[Admission Date]]</f>
        <v>13</v>
      </c>
    </row>
    <row r="14" spans="1:12" x14ac:dyDescent="0.3">
      <c r="A14" s="13" t="s">
        <v>19</v>
      </c>
      <c r="B14" s="1" t="s">
        <v>31</v>
      </c>
      <c r="C14" s="1" t="s">
        <v>32</v>
      </c>
      <c r="D14" s="1">
        <v>32</v>
      </c>
      <c r="E14" s="1">
        <v>67</v>
      </c>
      <c r="F14" s="2">
        <v>45248</v>
      </c>
      <c r="G14" s="2">
        <v>45254</v>
      </c>
      <c r="H14" s="14">
        <v>36748.42</v>
      </c>
      <c r="I14">
        <f>Table1[[#This Row],[Discharge Date]]-Table1[[#This Row],[Admission Date]]</f>
        <v>6</v>
      </c>
    </row>
    <row r="15" spans="1:12" x14ac:dyDescent="0.3">
      <c r="A15" s="13" t="s">
        <v>11</v>
      </c>
      <c r="B15" s="1" t="s">
        <v>25</v>
      </c>
      <c r="C15" s="1" t="s">
        <v>10</v>
      </c>
      <c r="D15" s="1">
        <v>27</v>
      </c>
      <c r="E15" s="1">
        <v>60</v>
      </c>
      <c r="F15" s="2">
        <v>45187</v>
      </c>
      <c r="G15" s="2">
        <v>45193</v>
      </c>
      <c r="H15" s="14">
        <v>37056.51</v>
      </c>
      <c r="I15">
        <f>Table1[[#This Row],[Discharge Date]]-Table1[[#This Row],[Admission Date]]</f>
        <v>6</v>
      </c>
    </row>
    <row r="16" spans="1:12" x14ac:dyDescent="0.3">
      <c r="A16" s="13" t="s">
        <v>33</v>
      </c>
      <c r="B16" s="1" t="s">
        <v>14</v>
      </c>
      <c r="C16" s="1" t="s">
        <v>21</v>
      </c>
      <c r="D16" s="1">
        <v>48</v>
      </c>
      <c r="E16" s="1">
        <v>37</v>
      </c>
      <c r="F16" s="2">
        <v>45144</v>
      </c>
      <c r="G16" s="2">
        <v>45149</v>
      </c>
      <c r="H16" s="14">
        <v>15107.89</v>
      </c>
      <c r="I16">
        <f>Table1[[#This Row],[Discharge Date]]-Table1[[#This Row],[Admission Date]]</f>
        <v>5</v>
      </c>
    </row>
    <row r="17" spans="1:9" x14ac:dyDescent="0.3">
      <c r="A17" s="13" t="s">
        <v>28</v>
      </c>
      <c r="B17" s="1" t="s">
        <v>9</v>
      </c>
      <c r="C17" s="1" t="s">
        <v>32</v>
      </c>
      <c r="D17" s="1">
        <v>17</v>
      </c>
      <c r="E17" s="1">
        <v>60</v>
      </c>
      <c r="F17" s="2">
        <v>45104</v>
      </c>
      <c r="G17" s="2">
        <v>45107</v>
      </c>
      <c r="H17" s="14">
        <v>9348.5499999999993</v>
      </c>
      <c r="I17">
        <f>Table1[[#This Row],[Discharge Date]]-Table1[[#This Row],[Admission Date]]</f>
        <v>3</v>
      </c>
    </row>
    <row r="18" spans="1:9" x14ac:dyDescent="0.3">
      <c r="A18" s="13" t="s">
        <v>27</v>
      </c>
      <c r="B18" s="1" t="s">
        <v>9</v>
      </c>
      <c r="C18" s="1" t="s">
        <v>15</v>
      </c>
      <c r="D18" s="1">
        <v>40</v>
      </c>
      <c r="E18" s="1">
        <v>96</v>
      </c>
      <c r="F18" s="2">
        <v>45007</v>
      </c>
      <c r="G18" s="2">
        <v>45013</v>
      </c>
      <c r="H18" s="14">
        <v>48548.44</v>
      </c>
      <c r="I18">
        <f>Table1[[#This Row],[Discharge Date]]-Table1[[#This Row],[Admission Date]]</f>
        <v>6</v>
      </c>
    </row>
    <row r="19" spans="1:9" x14ac:dyDescent="0.3">
      <c r="A19" s="13" t="s">
        <v>28</v>
      </c>
      <c r="B19" s="1" t="s">
        <v>14</v>
      </c>
      <c r="C19" s="1" t="s">
        <v>34</v>
      </c>
      <c r="D19" s="1">
        <v>14</v>
      </c>
      <c r="E19" s="1">
        <v>68</v>
      </c>
      <c r="F19" s="2">
        <v>45241</v>
      </c>
      <c r="G19" s="2">
        <v>45252</v>
      </c>
      <c r="H19" s="14">
        <v>29942.75</v>
      </c>
      <c r="I19">
        <f>Table1[[#This Row],[Discharge Date]]-Table1[[#This Row],[Admission Date]]</f>
        <v>11</v>
      </c>
    </row>
    <row r="20" spans="1:9" x14ac:dyDescent="0.3">
      <c r="A20" s="13" t="s">
        <v>24</v>
      </c>
      <c r="B20" s="1" t="s">
        <v>35</v>
      </c>
      <c r="C20" s="1" t="s">
        <v>18</v>
      </c>
      <c r="D20" s="1">
        <v>41</v>
      </c>
      <c r="E20" s="1">
        <v>111</v>
      </c>
      <c r="F20" s="2">
        <v>45235</v>
      </c>
      <c r="G20" s="2">
        <v>45238</v>
      </c>
      <c r="H20" s="14">
        <v>43367.53</v>
      </c>
      <c r="I20">
        <f>Table1[[#This Row],[Discharge Date]]-Table1[[#This Row],[Admission Date]]</f>
        <v>3</v>
      </c>
    </row>
    <row r="21" spans="1:9" x14ac:dyDescent="0.3">
      <c r="A21" s="13" t="s">
        <v>11</v>
      </c>
      <c r="B21" s="1" t="s">
        <v>29</v>
      </c>
      <c r="C21" s="1" t="s">
        <v>18</v>
      </c>
      <c r="D21" s="1">
        <v>46</v>
      </c>
      <c r="E21" s="1">
        <v>154</v>
      </c>
      <c r="F21" s="2">
        <v>44971</v>
      </c>
      <c r="G21" s="2">
        <v>44975</v>
      </c>
      <c r="H21" s="14">
        <v>41367.1</v>
      </c>
      <c r="I21">
        <f>Table1[[#This Row],[Discharge Date]]-Table1[[#This Row],[Admission Date]]</f>
        <v>4</v>
      </c>
    </row>
    <row r="22" spans="1:9" x14ac:dyDescent="0.3">
      <c r="A22" s="13" t="s">
        <v>36</v>
      </c>
      <c r="B22" s="1" t="s">
        <v>37</v>
      </c>
      <c r="C22" s="1" t="s">
        <v>30</v>
      </c>
      <c r="D22" s="1">
        <v>7</v>
      </c>
      <c r="E22" s="1">
        <v>68</v>
      </c>
      <c r="F22" s="2">
        <v>45205</v>
      </c>
      <c r="G22" s="2">
        <v>45206</v>
      </c>
      <c r="H22" s="14">
        <v>30136.26</v>
      </c>
      <c r="I22">
        <f>Table1[[#This Row],[Discharge Date]]-Table1[[#This Row],[Admission Date]]</f>
        <v>1</v>
      </c>
    </row>
    <row r="23" spans="1:9" x14ac:dyDescent="0.3">
      <c r="A23" s="13" t="s">
        <v>24</v>
      </c>
      <c r="B23" s="1" t="s">
        <v>17</v>
      </c>
      <c r="C23" s="1" t="s">
        <v>30</v>
      </c>
      <c r="D23" s="1">
        <v>28</v>
      </c>
      <c r="E23" s="1">
        <v>191</v>
      </c>
      <c r="F23" s="2">
        <v>45024</v>
      </c>
      <c r="G23" s="2">
        <v>45038</v>
      </c>
      <c r="H23" s="14">
        <v>17698.490000000002</v>
      </c>
      <c r="I23">
        <f>Table1[[#This Row],[Discharge Date]]-Table1[[#This Row],[Admission Date]]</f>
        <v>14</v>
      </c>
    </row>
    <row r="24" spans="1:9" x14ac:dyDescent="0.3">
      <c r="A24" s="13" t="s">
        <v>11</v>
      </c>
      <c r="B24" s="1" t="s">
        <v>14</v>
      </c>
      <c r="C24" s="1" t="s">
        <v>22</v>
      </c>
      <c r="D24" s="1">
        <v>32</v>
      </c>
      <c r="E24" s="1">
        <v>116</v>
      </c>
      <c r="F24" s="2">
        <v>45227</v>
      </c>
      <c r="G24" s="2">
        <v>45229</v>
      </c>
      <c r="H24" s="14">
        <v>40799.019999999997</v>
      </c>
      <c r="I24">
        <f>Table1[[#This Row],[Discharge Date]]-Table1[[#This Row],[Admission Date]]</f>
        <v>2</v>
      </c>
    </row>
    <row r="25" spans="1:9" x14ac:dyDescent="0.3">
      <c r="A25" s="13" t="s">
        <v>24</v>
      </c>
      <c r="B25" s="1" t="s">
        <v>17</v>
      </c>
      <c r="C25" s="1" t="s">
        <v>10</v>
      </c>
      <c r="D25" s="1">
        <v>5</v>
      </c>
      <c r="E25" s="1">
        <v>79</v>
      </c>
      <c r="F25" s="2">
        <v>45010</v>
      </c>
      <c r="G25" s="2">
        <v>45014</v>
      </c>
      <c r="H25" s="14">
        <v>20952.509999999998</v>
      </c>
      <c r="I25">
        <f>Table1[[#This Row],[Discharge Date]]-Table1[[#This Row],[Admission Date]]</f>
        <v>4</v>
      </c>
    </row>
    <row r="26" spans="1:9" x14ac:dyDescent="0.3">
      <c r="A26" s="13" t="s">
        <v>19</v>
      </c>
      <c r="B26" s="1" t="s">
        <v>31</v>
      </c>
      <c r="C26" s="1" t="s">
        <v>22</v>
      </c>
      <c r="D26" s="1">
        <v>48</v>
      </c>
      <c r="E26" s="1">
        <v>91</v>
      </c>
      <c r="F26" s="2">
        <v>44981</v>
      </c>
      <c r="G26" s="2">
        <v>44989</v>
      </c>
      <c r="H26" s="14">
        <v>10882.4</v>
      </c>
      <c r="I26">
        <f>Table1[[#This Row],[Discharge Date]]-Table1[[#This Row],[Admission Date]]</f>
        <v>8</v>
      </c>
    </row>
    <row r="27" spans="1:9" x14ac:dyDescent="0.3">
      <c r="A27" s="13" t="s">
        <v>24</v>
      </c>
      <c r="B27" s="1" t="s">
        <v>12</v>
      </c>
      <c r="C27" s="1" t="s">
        <v>13</v>
      </c>
      <c r="D27" s="1">
        <v>9</v>
      </c>
      <c r="E27" s="1">
        <v>59</v>
      </c>
      <c r="F27" s="2">
        <v>45239</v>
      </c>
      <c r="G27" s="2">
        <v>45246</v>
      </c>
      <c r="H27" s="14">
        <v>25177.79</v>
      </c>
      <c r="I27">
        <f>Table1[[#This Row],[Discharge Date]]-Table1[[#This Row],[Admission Date]]</f>
        <v>7</v>
      </c>
    </row>
    <row r="28" spans="1:9" x14ac:dyDescent="0.3">
      <c r="A28" s="13" t="s">
        <v>24</v>
      </c>
      <c r="B28" s="1" t="s">
        <v>31</v>
      </c>
      <c r="C28" s="1" t="s">
        <v>13</v>
      </c>
      <c r="D28" s="1">
        <v>9</v>
      </c>
      <c r="E28" s="1">
        <v>171</v>
      </c>
      <c r="F28" s="2">
        <v>45022</v>
      </c>
      <c r="G28" s="2">
        <v>45037</v>
      </c>
      <c r="H28" s="14">
        <v>21666.78</v>
      </c>
      <c r="I28">
        <f>Table1[[#This Row],[Discharge Date]]-Table1[[#This Row],[Admission Date]]</f>
        <v>15</v>
      </c>
    </row>
    <row r="29" spans="1:9" x14ac:dyDescent="0.3">
      <c r="A29" s="13" t="s">
        <v>24</v>
      </c>
      <c r="B29" s="1" t="s">
        <v>31</v>
      </c>
      <c r="C29" s="1" t="s">
        <v>30</v>
      </c>
      <c r="D29" s="1">
        <v>20</v>
      </c>
      <c r="E29" s="1">
        <v>39</v>
      </c>
      <c r="F29" s="2">
        <v>45051</v>
      </c>
      <c r="G29" s="2">
        <v>45056</v>
      </c>
      <c r="H29" s="14">
        <v>37856.699999999997</v>
      </c>
      <c r="I29">
        <f>Table1[[#This Row],[Discharge Date]]-Table1[[#This Row],[Admission Date]]</f>
        <v>5</v>
      </c>
    </row>
    <row r="30" spans="1:9" x14ac:dyDescent="0.3">
      <c r="A30" s="13" t="s">
        <v>28</v>
      </c>
      <c r="B30" s="1" t="s">
        <v>12</v>
      </c>
      <c r="C30" s="1" t="s">
        <v>32</v>
      </c>
      <c r="D30" s="1">
        <v>46</v>
      </c>
      <c r="E30" s="1">
        <v>55</v>
      </c>
      <c r="F30" s="2">
        <v>45194</v>
      </c>
      <c r="G30" s="2">
        <v>45198</v>
      </c>
      <c r="H30" s="14">
        <v>25298.5</v>
      </c>
      <c r="I30">
        <f>Table1[[#This Row],[Discharge Date]]-Table1[[#This Row],[Admission Date]]</f>
        <v>4</v>
      </c>
    </row>
    <row r="31" spans="1:9" x14ac:dyDescent="0.3">
      <c r="A31" s="13" t="s">
        <v>19</v>
      </c>
      <c r="B31" s="1" t="s">
        <v>17</v>
      </c>
      <c r="C31" s="1" t="s">
        <v>30</v>
      </c>
      <c r="D31" s="1">
        <v>7</v>
      </c>
      <c r="E31" s="1">
        <v>88</v>
      </c>
      <c r="F31" s="2">
        <v>45058</v>
      </c>
      <c r="G31" s="2">
        <v>45067</v>
      </c>
      <c r="H31" s="14">
        <v>28558.23</v>
      </c>
      <c r="I31">
        <f>Table1[[#This Row],[Discharge Date]]-Table1[[#This Row],[Admission Date]]</f>
        <v>9</v>
      </c>
    </row>
    <row r="32" spans="1:9" x14ac:dyDescent="0.3">
      <c r="A32" s="13" t="s">
        <v>23</v>
      </c>
      <c r="B32" s="1" t="s">
        <v>9</v>
      </c>
      <c r="C32" s="1" t="s">
        <v>30</v>
      </c>
      <c r="D32" s="1">
        <v>36</v>
      </c>
      <c r="E32" s="1">
        <v>69</v>
      </c>
      <c r="F32" s="2">
        <v>45188</v>
      </c>
      <c r="G32" s="2">
        <v>45189</v>
      </c>
      <c r="H32" s="14">
        <v>44452.26</v>
      </c>
      <c r="I32">
        <f>Table1[[#This Row],[Discharge Date]]-Table1[[#This Row],[Admission Date]]</f>
        <v>1</v>
      </c>
    </row>
    <row r="33" spans="1:9" x14ac:dyDescent="0.3">
      <c r="A33" s="13" t="s">
        <v>28</v>
      </c>
      <c r="B33" s="1" t="s">
        <v>29</v>
      </c>
      <c r="C33" s="1" t="s">
        <v>34</v>
      </c>
      <c r="D33" s="1">
        <v>20</v>
      </c>
      <c r="E33" s="1">
        <v>94</v>
      </c>
      <c r="F33" s="2">
        <v>45159</v>
      </c>
      <c r="G33" s="2">
        <v>45166</v>
      </c>
      <c r="H33" s="14">
        <v>49955.41</v>
      </c>
      <c r="I33">
        <f>Table1[[#This Row],[Discharge Date]]-Table1[[#This Row],[Admission Date]]</f>
        <v>7</v>
      </c>
    </row>
    <row r="34" spans="1:9" x14ac:dyDescent="0.3">
      <c r="A34" s="13" t="s">
        <v>27</v>
      </c>
      <c r="B34" s="1" t="s">
        <v>25</v>
      </c>
      <c r="C34" s="1" t="s">
        <v>30</v>
      </c>
      <c r="D34" s="1">
        <v>38</v>
      </c>
      <c r="E34" s="1">
        <v>139</v>
      </c>
      <c r="F34" s="2">
        <v>45108</v>
      </c>
      <c r="G34" s="2">
        <v>45122</v>
      </c>
      <c r="H34" s="14">
        <v>14118.62</v>
      </c>
      <c r="I34">
        <f>Table1[[#This Row],[Discharge Date]]-Table1[[#This Row],[Admission Date]]</f>
        <v>14</v>
      </c>
    </row>
    <row r="35" spans="1:9" x14ac:dyDescent="0.3">
      <c r="A35" s="13" t="s">
        <v>23</v>
      </c>
      <c r="B35" s="1" t="s">
        <v>25</v>
      </c>
      <c r="C35" s="1" t="s">
        <v>18</v>
      </c>
      <c r="D35" s="1">
        <v>38</v>
      </c>
      <c r="E35" s="1">
        <v>62</v>
      </c>
      <c r="F35" s="2">
        <v>45084</v>
      </c>
      <c r="G35" s="2">
        <v>45094</v>
      </c>
      <c r="H35" s="14">
        <v>22074.89</v>
      </c>
      <c r="I35">
        <f>Table1[[#This Row],[Discharge Date]]-Table1[[#This Row],[Admission Date]]</f>
        <v>10</v>
      </c>
    </row>
    <row r="36" spans="1:9" x14ac:dyDescent="0.3">
      <c r="A36" s="13" t="s">
        <v>23</v>
      </c>
      <c r="B36" s="1" t="s">
        <v>20</v>
      </c>
      <c r="C36" s="1" t="s">
        <v>10</v>
      </c>
      <c r="D36" s="1">
        <v>22</v>
      </c>
      <c r="E36" s="1">
        <v>133</v>
      </c>
      <c r="F36" s="2">
        <v>44970</v>
      </c>
      <c r="G36" s="2">
        <v>44985</v>
      </c>
      <c r="H36" s="14">
        <v>18795.689999999999</v>
      </c>
      <c r="I36">
        <f>Table1[[#This Row],[Discharge Date]]-Table1[[#This Row],[Admission Date]]</f>
        <v>15</v>
      </c>
    </row>
    <row r="37" spans="1:9" x14ac:dyDescent="0.3">
      <c r="A37" s="13" t="s">
        <v>8</v>
      </c>
      <c r="B37" s="1" t="s">
        <v>25</v>
      </c>
      <c r="C37" s="1" t="s">
        <v>34</v>
      </c>
      <c r="D37" s="1">
        <v>47</v>
      </c>
      <c r="E37" s="1">
        <v>84</v>
      </c>
      <c r="F37" s="2">
        <v>44946</v>
      </c>
      <c r="G37" s="2">
        <v>44952</v>
      </c>
      <c r="H37" s="14">
        <v>26646.52</v>
      </c>
      <c r="I37">
        <f>Table1[[#This Row],[Discharge Date]]-Table1[[#This Row],[Admission Date]]</f>
        <v>6</v>
      </c>
    </row>
    <row r="38" spans="1:9" x14ac:dyDescent="0.3">
      <c r="A38" s="13" t="s">
        <v>11</v>
      </c>
      <c r="B38" s="1" t="s">
        <v>25</v>
      </c>
      <c r="C38" s="1" t="s">
        <v>22</v>
      </c>
      <c r="D38" s="1">
        <v>15</v>
      </c>
      <c r="E38" s="1">
        <v>40</v>
      </c>
      <c r="F38" s="2">
        <v>45222</v>
      </c>
      <c r="G38" s="2">
        <v>45225</v>
      </c>
      <c r="H38" s="14">
        <v>37057.29</v>
      </c>
      <c r="I38">
        <f>Table1[[#This Row],[Discharge Date]]-Table1[[#This Row],[Admission Date]]</f>
        <v>3</v>
      </c>
    </row>
    <row r="39" spans="1:9" x14ac:dyDescent="0.3">
      <c r="A39" s="13" t="s">
        <v>28</v>
      </c>
      <c r="B39" s="1" t="s">
        <v>35</v>
      </c>
      <c r="C39" s="1" t="s">
        <v>26</v>
      </c>
      <c r="D39" s="1">
        <v>46</v>
      </c>
      <c r="E39" s="1">
        <v>23</v>
      </c>
      <c r="F39" s="2">
        <v>45073</v>
      </c>
      <c r="G39" s="2">
        <v>45075</v>
      </c>
      <c r="H39" s="14">
        <v>40771.839999999997</v>
      </c>
      <c r="I39">
        <f>Table1[[#This Row],[Discharge Date]]-Table1[[#This Row],[Admission Date]]</f>
        <v>2</v>
      </c>
    </row>
    <row r="40" spans="1:9" x14ac:dyDescent="0.3">
      <c r="A40" s="13" t="s">
        <v>19</v>
      </c>
      <c r="B40" s="1" t="s">
        <v>20</v>
      </c>
      <c r="C40" s="1" t="s">
        <v>18</v>
      </c>
      <c r="D40" s="1">
        <v>6</v>
      </c>
      <c r="E40" s="1">
        <v>166</v>
      </c>
      <c r="F40" s="2">
        <v>45276</v>
      </c>
      <c r="G40" s="2">
        <v>45285</v>
      </c>
      <c r="H40" s="14">
        <v>40731.29</v>
      </c>
      <c r="I40">
        <f>Table1[[#This Row],[Discharge Date]]-Table1[[#This Row],[Admission Date]]</f>
        <v>9</v>
      </c>
    </row>
    <row r="41" spans="1:9" x14ac:dyDescent="0.3">
      <c r="A41" s="13" t="s">
        <v>8</v>
      </c>
      <c r="B41" s="1" t="s">
        <v>31</v>
      </c>
      <c r="C41" s="1" t="s">
        <v>18</v>
      </c>
      <c r="D41" s="1">
        <v>37</v>
      </c>
      <c r="E41" s="1">
        <v>85</v>
      </c>
      <c r="F41" s="2">
        <v>45086</v>
      </c>
      <c r="G41" s="2">
        <v>45093</v>
      </c>
      <c r="H41" s="14">
        <v>4872.04</v>
      </c>
      <c r="I41">
        <f>Table1[[#This Row],[Discharge Date]]-Table1[[#This Row],[Admission Date]]</f>
        <v>7</v>
      </c>
    </row>
    <row r="42" spans="1:9" x14ac:dyDescent="0.3">
      <c r="A42" s="13" t="s">
        <v>36</v>
      </c>
      <c r="B42" s="1" t="s">
        <v>31</v>
      </c>
      <c r="C42" s="1" t="s">
        <v>34</v>
      </c>
      <c r="D42" s="1">
        <v>22</v>
      </c>
      <c r="E42" s="1">
        <v>167</v>
      </c>
      <c r="F42" s="2">
        <v>45289</v>
      </c>
      <c r="G42" s="2">
        <v>45301</v>
      </c>
      <c r="H42" s="14">
        <v>44531.22</v>
      </c>
      <c r="I42">
        <f>Table1[[#This Row],[Discharge Date]]-Table1[[#This Row],[Admission Date]]</f>
        <v>12</v>
      </c>
    </row>
    <row r="43" spans="1:9" x14ac:dyDescent="0.3">
      <c r="A43" s="13" t="s">
        <v>24</v>
      </c>
      <c r="B43" s="1" t="s">
        <v>9</v>
      </c>
      <c r="C43" s="1" t="s">
        <v>13</v>
      </c>
      <c r="D43" s="1">
        <v>8</v>
      </c>
      <c r="E43" s="1">
        <v>61</v>
      </c>
      <c r="F43" s="2">
        <v>45179</v>
      </c>
      <c r="G43" s="2">
        <v>45184</v>
      </c>
      <c r="H43" s="14">
        <v>42769.14</v>
      </c>
      <c r="I43">
        <f>Table1[[#This Row],[Discharge Date]]-Table1[[#This Row],[Admission Date]]</f>
        <v>5</v>
      </c>
    </row>
    <row r="44" spans="1:9" x14ac:dyDescent="0.3">
      <c r="A44" s="13" t="s">
        <v>11</v>
      </c>
      <c r="B44" s="1" t="s">
        <v>37</v>
      </c>
      <c r="C44" s="1" t="s">
        <v>21</v>
      </c>
      <c r="D44" s="1">
        <v>30</v>
      </c>
      <c r="E44" s="1">
        <v>69</v>
      </c>
      <c r="F44" s="2">
        <v>45243</v>
      </c>
      <c r="G44" s="2">
        <v>45256</v>
      </c>
      <c r="H44" s="14">
        <v>14701.02</v>
      </c>
      <c r="I44">
        <f>Table1[[#This Row],[Discharge Date]]-Table1[[#This Row],[Admission Date]]</f>
        <v>13</v>
      </c>
    </row>
    <row r="45" spans="1:9" x14ac:dyDescent="0.3">
      <c r="A45" s="13" t="s">
        <v>19</v>
      </c>
      <c r="B45" s="1" t="s">
        <v>25</v>
      </c>
      <c r="C45" s="1" t="s">
        <v>21</v>
      </c>
      <c r="D45" s="1">
        <v>11</v>
      </c>
      <c r="E45" s="1">
        <v>22</v>
      </c>
      <c r="F45" s="2">
        <v>45061</v>
      </c>
      <c r="G45" s="2">
        <v>45064</v>
      </c>
      <c r="H45" s="14">
        <v>48466.080000000002</v>
      </c>
      <c r="I45">
        <f>Table1[[#This Row],[Discharge Date]]-Table1[[#This Row],[Admission Date]]</f>
        <v>3</v>
      </c>
    </row>
    <row r="46" spans="1:9" x14ac:dyDescent="0.3">
      <c r="A46" s="13" t="s">
        <v>33</v>
      </c>
      <c r="B46" s="1" t="s">
        <v>37</v>
      </c>
      <c r="C46" s="1" t="s">
        <v>13</v>
      </c>
      <c r="D46" s="1">
        <v>37</v>
      </c>
      <c r="E46" s="1">
        <v>26</v>
      </c>
      <c r="F46" s="2">
        <v>45117</v>
      </c>
      <c r="G46" s="2">
        <v>45131</v>
      </c>
      <c r="H46" s="14">
        <v>25367.78</v>
      </c>
      <c r="I46">
        <f>Table1[[#This Row],[Discharge Date]]-Table1[[#This Row],[Admission Date]]</f>
        <v>14</v>
      </c>
    </row>
    <row r="47" spans="1:9" x14ac:dyDescent="0.3">
      <c r="A47" s="13" t="s">
        <v>27</v>
      </c>
      <c r="B47" s="1" t="s">
        <v>14</v>
      </c>
      <c r="C47" s="1" t="s">
        <v>30</v>
      </c>
      <c r="D47" s="1">
        <v>15</v>
      </c>
      <c r="E47" s="1">
        <v>112</v>
      </c>
      <c r="F47" s="2">
        <v>45011</v>
      </c>
      <c r="G47" s="2">
        <v>45013</v>
      </c>
      <c r="H47" s="14">
        <v>32628.67</v>
      </c>
      <c r="I47">
        <f>Table1[[#This Row],[Discharge Date]]-Table1[[#This Row],[Admission Date]]</f>
        <v>2</v>
      </c>
    </row>
    <row r="48" spans="1:9" x14ac:dyDescent="0.3">
      <c r="A48" s="13" t="s">
        <v>16</v>
      </c>
      <c r="B48" s="1" t="s">
        <v>31</v>
      </c>
      <c r="C48" s="1" t="s">
        <v>18</v>
      </c>
      <c r="D48" s="1">
        <v>30</v>
      </c>
      <c r="E48" s="1">
        <v>161</v>
      </c>
      <c r="F48" s="2">
        <v>45240</v>
      </c>
      <c r="G48" s="2">
        <v>45255</v>
      </c>
      <c r="H48" s="14">
        <v>10166.89</v>
      </c>
      <c r="I48">
        <f>Table1[[#This Row],[Discharge Date]]-Table1[[#This Row],[Admission Date]]</f>
        <v>15</v>
      </c>
    </row>
    <row r="49" spans="1:9" x14ac:dyDescent="0.3">
      <c r="A49" s="13" t="s">
        <v>27</v>
      </c>
      <c r="B49" s="1" t="s">
        <v>37</v>
      </c>
      <c r="C49" s="1" t="s">
        <v>15</v>
      </c>
      <c r="D49" s="1">
        <v>8</v>
      </c>
      <c r="E49" s="1">
        <v>177</v>
      </c>
      <c r="F49" s="2">
        <v>45151</v>
      </c>
      <c r="G49" s="2">
        <v>45155</v>
      </c>
      <c r="H49" s="14">
        <v>15913.48</v>
      </c>
      <c r="I49">
        <f>Table1[[#This Row],[Discharge Date]]-Table1[[#This Row],[Admission Date]]</f>
        <v>4</v>
      </c>
    </row>
    <row r="50" spans="1:9" x14ac:dyDescent="0.3">
      <c r="A50" s="13" t="s">
        <v>28</v>
      </c>
      <c r="B50" s="1" t="s">
        <v>17</v>
      </c>
      <c r="C50" s="1" t="s">
        <v>15</v>
      </c>
      <c r="D50" s="1">
        <v>30</v>
      </c>
      <c r="E50" s="1">
        <v>158</v>
      </c>
      <c r="F50" s="2">
        <v>45243</v>
      </c>
      <c r="G50" s="2">
        <v>45252</v>
      </c>
      <c r="H50" s="14">
        <v>16757.509999999998</v>
      </c>
      <c r="I50">
        <f>Table1[[#This Row],[Discharge Date]]-Table1[[#This Row],[Admission Date]]</f>
        <v>9</v>
      </c>
    </row>
    <row r="51" spans="1:9" x14ac:dyDescent="0.3">
      <c r="A51" s="13" t="s">
        <v>8</v>
      </c>
      <c r="B51" s="1" t="s">
        <v>14</v>
      </c>
      <c r="C51" s="1" t="s">
        <v>34</v>
      </c>
      <c r="D51" s="1">
        <v>27</v>
      </c>
      <c r="E51" s="1">
        <v>65</v>
      </c>
      <c r="F51" s="2">
        <v>45014</v>
      </c>
      <c r="G51" s="2">
        <v>45024</v>
      </c>
      <c r="H51" s="14">
        <v>35720.61</v>
      </c>
      <c r="I51">
        <f>Table1[[#This Row],[Discharge Date]]-Table1[[#This Row],[Admission Date]]</f>
        <v>10</v>
      </c>
    </row>
    <row r="52" spans="1:9" x14ac:dyDescent="0.3">
      <c r="A52" s="13" t="s">
        <v>27</v>
      </c>
      <c r="B52" s="1" t="s">
        <v>25</v>
      </c>
      <c r="C52" s="1" t="s">
        <v>26</v>
      </c>
      <c r="D52" s="1">
        <v>45</v>
      </c>
      <c r="E52" s="1">
        <v>88</v>
      </c>
      <c r="F52" s="2">
        <v>45098</v>
      </c>
      <c r="G52" s="2">
        <v>45112</v>
      </c>
      <c r="H52" s="14">
        <v>9438.26</v>
      </c>
      <c r="I52">
        <f>Table1[[#This Row],[Discharge Date]]-Table1[[#This Row],[Admission Date]]</f>
        <v>14</v>
      </c>
    </row>
    <row r="53" spans="1:9" x14ac:dyDescent="0.3">
      <c r="A53" s="13" t="s">
        <v>8</v>
      </c>
      <c r="B53" s="1" t="s">
        <v>31</v>
      </c>
      <c r="C53" s="1" t="s">
        <v>32</v>
      </c>
      <c r="D53" s="1">
        <v>32</v>
      </c>
      <c r="E53" s="1">
        <v>51</v>
      </c>
      <c r="F53" s="2">
        <v>45290</v>
      </c>
      <c r="G53" s="2">
        <v>45303</v>
      </c>
      <c r="H53" s="14">
        <v>27223.46</v>
      </c>
      <c r="I53">
        <f>Table1[[#This Row],[Discharge Date]]-Table1[[#This Row],[Admission Date]]</f>
        <v>13</v>
      </c>
    </row>
    <row r="54" spans="1:9" x14ac:dyDescent="0.3">
      <c r="A54" s="13" t="s">
        <v>36</v>
      </c>
      <c r="B54" s="1" t="s">
        <v>20</v>
      </c>
      <c r="C54" s="1" t="s">
        <v>21</v>
      </c>
      <c r="D54" s="1">
        <v>10</v>
      </c>
      <c r="E54" s="1">
        <v>94</v>
      </c>
      <c r="F54" s="2">
        <v>44944</v>
      </c>
      <c r="G54" s="2">
        <v>44959</v>
      </c>
      <c r="H54" s="14">
        <v>35570.839999999997</v>
      </c>
      <c r="I54">
        <f>Table1[[#This Row],[Discharge Date]]-Table1[[#This Row],[Admission Date]]</f>
        <v>15</v>
      </c>
    </row>
    <row r="55" spans="1:9" x14ac:dyDescent="0.3">
      <c r="A55" s="13" t="s">
        <v>28</v>
      </c>
      <c r="B55" s="1" t="s">
        <v>14</v>
      </c>
      <c r="C55" s="1" t="s">
        <v>18</v>
      </c>
      <c r="D55" s="1">
        <v>13</v>
      </c>
      <c r="E55" s="1">
        <v>75</v>
      </c>
      <c r="F55" s="2">
        <v>44964</v>
      </c>
      <c r="G55" s="2">
        <v>44970</v>
      </c>
      <c r="H55" s="14">
        <v>26027.37</v>
      </c>
      <c r="I55">
        <f>Table1[[#This Row],[Discharge Date]]-Table1[[#This Row],[Admission Date]]</f>
        <v>6</v>
      </c>
    </row>
    <row r="56" spans="1:9" x14ac:dyDescent="0.3">
      <c r="A56" s="13" t="s">
        <v>33</v>
      </c>
      <c r="B56" s="1" t="s">
        <v>29</v>
      </c>
      <c r="C56" s="1" t="s">
        <v>18</v>
      </c>
      <c r="D56" s="1">
        <v>23</v>
      </c>
      <c r="E56" s="1">
        <v>109</v>
      </c>
      <c r="F56" s="2">
        <v>45100</v>
      </c>
      <c r="G56" s="2">
        <v>45108</v>
      </c>
      <c r="H56" s="14">
        <v>36909.89</v>
      </c>
      <c r="I56">
        <f>Table1[[#This Row],[Discharge Date]]-Table1[[#This Row],[Admission Date]]</f>
        <v>8</v>
      </c>
    </row>
    <row r="57" spans="1:9" x14ac:dyDescent="0.3">
      <c r="A57" s="13" t="s">
        <v>11</v>
      </c>
      <c r="B57" s="1" t="s">
        <v>12</v>
      </c>
      <c r="C57" s="1" t="s">
        <v>22</v>
      </c>
      <c r="D57" s="1">
        <v>41</v>
      </c>
      <c r="E57" s="1">
        <v>47</v>
      </c>
      <c r="F57" s="2">
        <v>45010</v>
      </c>
      <c r="G57" s="2">
        <v>45014</v>
      </c>
      <c r="H57" s="14">
        <v>8519.11</v>
      </c>
      <c r="I57">
        <f>Table1[[#This Row],[Discharge Date]]-Table1[[#This Row],[Admission Date]]</f>
        <v>4</v>
      </c>
    </row>
    <row r="58" spans="1:9" x14ac:dyDescent="0.3">
      <c r="A58" s="13" t="s">
        <v>36</v>
      </c>
      <c r="B58" s="1" t="s">
        <v>9</v>
      </c>
      <c r="C58" s="1" t="s">
        <v>15</v>
      </c>
      <c r="D58" s="1">
        <v>9</v>
      </c>
      <c r="E58" s="1">
        <v>134</v>
      </c>
      <c r="F58" s="2">
        <v>45063</v>
      </c>
      <c r="G58" s="2">
        <v>45077</v>
      </c>
      <c r="H58" s="14">
        <v>48873.72</v>
      </c>
      <c r="I58">
        <f>Table1[[#This Row],[Discharge Date]]-Table1[[#This Row],[Admission Date]]</f>
        <v>14</v>
      </c>
    </row>
    <row r="59" spans="1:9" x14ac:dyDescent="0.3">
      <c r="A59" s="13" t="s">
        <v>36</v>
      </c>
      <c r="B59" s="1" t="s">
        <v>17</v>
      </c>
      <c r="C59" s="1" t="s">
        <v>26</v>
      </c>
      <c r="D59" s="1">
        <v>49</v>
      </c>
      <c r="E59" s="1">
        <v>42</v>
      </c>
      <c r="F59" s="2">
        <v>45288</v>
      </c>
      <c r="G59" s="2">
        <v>45298</v>
      </c>
      <c r="H59" s="14">
        <v>31342.58</v>
      </c>
      <c r="I59">
        <f>Table1[[#This Row],[Discharge Date]]-Table1[[#This Row],[Admission Date]]</f>
        <v>10</v>
      </c>
    </row>
    <row r="60" spans="1:9" x14ac:dyDescent="0.3">
      <c r="A60" s="13" t="s">
        <v>23</v>
      </c>
      <c r="B60" s="1" t="s">
        <v>14</v>
      </c>
      <c r="C60" s="1" t="s">
        <v>10</v>
      </c>
      <c r="D60" s="1">
        <v>48</v>
      </c>
      <c r="E60" s="1">
        <v>138</v>
      </c>
      <c r="F60" s="2">
        <v>44944</v>
      </c>
      <c r="G60" s="2">
        <v>44952</v>
      </c>
      <c r="H60" s="14">
        <v>46741.91</v>
      </c>
      <c r="I60">
        <f>Table1[[#This Row],[Discharge Date]]-Table1[[#This Row],[Admission Date]]</f>
        <v>8</v>
      </c>
    </row>
    <row r="61" spans="1:9" x14ac:dyDescent="0.3">
      <c r="A61" s="13" t="s">
        <v>23</v>
      </c>
      <c r="B61" s="1" t="s">
        <v>37</v>
      </c>
      <c r="C61" s="1" t="s">
        <v>13</v>
      </c>
      <c r="D61" s="1">
        <v>42</v>
      </c>
      <c r="E61" s="1">
        <v>58</v>
      </c>
      <c r="F61" s="2">
        <v>45187</v>
      </c>
      <c r="G61" s="2">
        <v>45188</v>
      </c>
      <c r="H61" s="14">
        <v>26614.52</v>
      </c>
      <c r="I61">
        <f>Table1[[#This Row],[Discharge Date]]-Table1[[#This Row],[Admission Date]]</f>
        <v>1</v>
      </c>
    </row>
    <row r="62" spans="1:9" x14ac:dyDescent="0.3">
      <c r="A62" s="13" t="s">
        <v>28</v>
      </c>
      <c r="B62" s="1" t="s">
        <v>14</v>
      </c>
      <c r="C62" s="1" t="s">
        <v>18</v>
      </c>
      <c r="D62" s="1">
        <v>21</v>
      </c>
      <c r="E62" s="1">
        <v>50</v>
      </c>
      <c r="F62" s="2">
        <v>45099</v>
      </c>
      <c r="G62" s="2">
        <v>45104</v>
      </c>
      <c r="H62" s="14">
        <v>10978.18</v>
      </c>
      <c r="I62">
        <f>Table1[[#This Row],[Discharge Date]]-Table1[[#This Row],[Admission Date]]</f>
        <v>5</v>
      </c>
    </row>
    <row r="63" spans="1:9" x14ac:dyDescent="0.3">
      <c r="A63" s="13" t="s">
        <v>23</v>
      </c>
      <c r="B63" s="1" t="s">
        <v>35</v>
      </c>
      <c r="C63" s="1" t="s">
        <v>13</v>
      </c>
      <c r="D63" s="1">
        <v>21</v>
      </c>
      <c r="E63" s="1">
        <v>66</v>
      </c>
      <c r="F63" s="2">
        <v>45289</v>
      </c>
      <c r="G63" s="2">
        <v>45304</v>
      </c>
      <c r="H63" s="14">
        <v>31175.27</v>
      </c>
      <c r="I63">
        <f>Table1[[#This Row],[Discharge Date]]-Table1[[#This Row],[Admission Date]]</f>
        <v>15</v>
      </c>
    </row>
    <row r="64" spans="1:9" x14ac:dyDescent="0.3">
      <c r="A64" s="13" t="s">
        <v>33</v>
      </c>
      <c r="B64" s="1" t="s">
        <v>12</v>
      </c>
      <c r="C64" s="1" t="s">
        <v>10</v>
      </c>
      <c r="D64" s="1">
        <v>31</v>
      </c>
      <c r="E64" s="1">
        <v>122</v>
      </c>
      <c r="F64" s="2">
        <v>45240</v>
      </c>
      <c r="G64" s="2">
        <v>45243</v>
      </c>
      <c r="H64" s="14">
        <v>44290.86</v>
      </c>
      <c r="I64">
        <f>Table1[[#This Row],[Discharge Date]]-Table1[[#This Row],[Admission Date]]</f>
        <v>3</v>
      </c>
    </row>
    <row r="65" spans="1:9" x14ac:dyDescent="0.3">
      <c r="A65" s="13" t="s">
        <v>16</v>
      </c>
      <c r="B65" s="1" t="s">
        <v>37</v>
      </c>
      <c r="C65" s="1" t="s">
        <v>13</v>
      </c>
      <c r="D65" s="1">
        <v>26</v>
      </c>
      <c r="E65" s="1">
        <v>85</v>
      </c>
      <c r="F65" s="2">
        <v>45194</v>
      </c>
      <c r="G65" s="2">
        <v>45198</v>
      </c>
      <c r="H65" s="14">
        <v>7502.64</v>
      </c>
      <c r="I65">
        <f>Table1[[#This Row],[Discharge Date]]-Table1[[#This Row],[Admission Date]]</f>
        <v>4</v>
      </c>
    </row>
    <row r="66" spans="1:9" x14ac:dyDescent="0.3">
      <c r="A66" s="13" t="s">
        <v>36</v>
      </c>
      <c r="B66" s="1" t="s">
        <v>31</v>
      </c>
      <c r="C66" s="1" t="s">
        <v>13</v>
      </c>
      <c r="D66" s="1">
        <v>31</v>
      </c>
      <c r="E66" s="1">
        <v>75</v>
      </c>
      <c r="F66" s="2">
        <v>45083</v>
      </c>
      <c r="G66" s="2">
        <v>45088</v>
      </c>
      <c r="H66" s="14">
        <v>7121.37</v>
      </c>
      <c r="I66">
        <f>Table1[[#This Row],[Discharge Date]]-Table1[[#This Row],[Admission Date]]</f>
        <v>5</v>
      </c>
    </row>
    <row r="67" spans="1:9" x14ac:dyDescent="0.3">
      <c r="A67" s="13" t="s">
        <v>16</v>
      </c>
      <c r="B67" s="1" t="s">
        <v>25</v>
      </c>
      <c r="C67" s="1" t="s">
        <v>18</v>
      </c>
      <c r="D67" s="1">
        <v>39</v>
      </c>
      <c r="E67" s="1">
        <v>70</v>
      </c>
      <c r="F67" s="2">
        <v>45135</v>
      </c>
      <c r="G67" s="2">
        <v>45142</v>
      </c>
      <c r="H67" s="14">
        <v>48241</v>
      </c>
      <c r="I67">
        <f>Table1[[#This Row],[Discharge Date]]-Table1[[#This Row],[Admission Date]]</f>
        <v>7</v>
      </c>
    </row>
    <row r="68" spans="1:9" x14ac:dyDescent="0.3">
      <c r="A68" s="13" t="s">
        <v>19</v>
      </c>
      <c r="B68" s="1" t="s">
        <v>14</v>
      </c>
      <c r="C68" s="1" t="s">
        <v>34</v>
      </c>
      <c r="D68" s="1">
        <v>14</v>
      </c>
      <c r="E68" s="1">
        <v>91</v>
      </c>
      <c r="F68" s="2">
        <v>45127</v>
      </c>
      <c r="G68" s="2">
        <v>45141</v>
      </c>
      <c r="H68" s="14">
        <v>33446.239999999998</v>
      </c>
      <c r="I68">
        <f>Table1[[#This Row],[Discharge Date]]-Table1[[#This Row],[Admission Date]]</f>
        <v>14</v>
      </c>
    </row>
    <row r="69" spans="1:9" x14ac:dyDescent="0.3">
      <c r="A69" s="13" t="s">
        <v>11</v>
      </c>
      <c r="B69" s="1" t="s">
        <v>37</v>
      </c>
      <c r="C69" s="1" t="s">
        <v>13</v>
      </c>
      <c r="D69" s="1">
        <v>14</v>
      </c>
      <c r="E69" s="1">
        <v>62</v>
      </c>
      <c r="F69" s="2">
        <v>45277</v>
      </c>
      <c r="G69" s="2">
        <v>45290</v>
      </c>
      <c r="H69" s="14">
        <v>13590.65</v>
      </c>
      <c r="I69">
        <f>Table1[[#This Row],[Discharge Date]]-Table1[[#This Row],[Admission Date]]</f>
        <v>13</v>
      </c>
    </row>
    <row r="70" spans="1:9" x14ac:dyDescent="0.3">
      <c r="A70" s="13" t="s">
        <v>19</v>
      </c>
      <c r="B70" s="1" t="s">
        <v>9</v>
      </c>
      <c r="C70" s="1" t="s">
        <v>21</v>
      </c>
      <c r="D70" s="1">
        <v>28</v>
      </c>
      <c r="E70" s="1">
        <v>84</v>
      </c>
      <c r="F70" s="2">
        <v>44965</v>
      </c>
      <c r="G70" s="2">
        <v>44979</v>
      </c>
      <c r="H70" s="14">
        <v>20849.310000000001</v>
      </c>
      <c r="I70">
        <f>Table1[[#This Row],[Discharge Date]]-Table1[[#This Row],[Admission Date]]</f>
        <v>14</v>
      </c>
    </row>
    <row r="71" spans="1:9" x14ac:dyDescent="0.3">
      <c r="A71" s="13" t="s">
        <v>27</v>
      </c>
      <c r="B71" s="1" t="s">
        <v>17</v>
      </c>
      <c r="C71" s="1" t="s">
        <v>34</v>
      </c>
      <c r="D71" s="1">
        <v>35</v>
      </c>
      <c r="E71" s="1">
        <v>57</v>
      </c>
      <c r="F71" s="2">
        <v>45147</v>
      </c>
      <c r="G71" s="2">
        <v>45157</v>
      </c>
      <c r="H71" s="14">
        <v>4388.33</v>
      </c>
      <c r="I71">
        <f>Table1[[#This Row],[Discharge Date]]-Table1[[#This Row],[Admission Date]]</f>
        <v>10</v>
      </c>
    </row>
    <row r="72" spans="1:9" x14ac:dyDescent="0.3">
      <c r="A72" s="13" t="s">
        <v>28</v>
      </c>
      <c r="B72" s="1" t="s">
        <v>12</v>
      </c>
      <c r="C72" s="1" t="s">
        <v>15</v>
      </c>
      <c r="D72" s="1">
        <v>5</v>
      </c>
      <c r="E72" s="1">
        <v>41</v>
      </c>
      <c r="F72" s="2">
        <v>45016</v>
      </c>
      <c r="G72" s="2">
        <v>45021</v>
      </c>
      <c r="H72" s="14">
        <v>23916.63</v>
      </c>
      <c r="I72">
        <f>Table1[[#This Row],[Discharge Date]]-Table1[[#This Row],[Admission Date]]</f>
        <v>5</v>
      </c>
    </row>
    <row r="73" spans="1:9" x14ac:dyDescent="0.3">
      <c r="A73" s="13" t="s">
        <v>16</v>
      </c>
      <c r="B73" s="1" t="s">
        <v>37</v>
      </c>
      <c r="C73" s="1" t="s">
        <v>18</v>
      </c>
      <c r="D73" s="1">
        <v>29</v>
      </c>
      <c r="E73" s="1">
        <v>54</v>
      </c>
      <c r="F73" s="2">
        <v>45221</v>
      </c>
      <c r="G73" s="2">
        <v>45235</v>
      </c>
      <c r="H73" s="14">
        <v>5084.1099999999997</v>
      </c>
      <c r="I73">
        <f>Table1[[#This Row],[Discharge Date]]-Table1[[#This Row],[Admission Date]]</f>
        <v>14</v>
      </c>
    </row>
    <row r="74" spans="1:9" x14ac:dyDescent="0.3">
      <c r="A74" s="13" t="s">
        <v>24</v>
      </c>
      <c r="B74" s="1" t="s">
        <v>14</v>
      </c>
      <c r="C74" s="1" t="s">
        <v>34</v>
      </c>
      <c r="D74" s="1">
        <v>28</v>
      </c>
      <c r="E74" s="1">
        <v>102</v>
      </c>
      <c r="F74" s="2">
        <v>45273</v>
      </c>
      <c r="G74" s="2">
        <v>45280</v>
      </c>
      <c r="H74" s="14">
        <v>23328.9</v>
      </c>
      <c r="I74">
        <f>Table1[[#This Row],[Discharge Date]]-Table1[[#This Row],[Admission Date]]</f>
        <v>7</v>
      </c>
    </row>
    <row r="75" spans="1:9" x14ac:dyDescent="0.3">
      <c r="A75" s="13" t="s">
        <v>19</v>
      </c>
      <c r="B75" s="1" t="s">
        <v>35</v>
      </c>
      <c r="C75" s="1" t="s">
        <v>15</v>
      </c>
      <c r="D75" s="1">
        <v>41</v>
      </c>
      <c r="E75" s="1">
        <v>27</v>
      </c>
      <c r="F75" s="2">
        <v>44977</v>
      </c>
      <c r="G75" s="2">
        <v>44991</v>
      </c>
      <c r="H75" s="14">
        <v>33417.279999999999</v>
      </c>
      <c r="I75">
        <f>Table1[[#This Row],[Discharge Date]]-Table1[[#This Row],[Admission Date]]</f>
        <v>14</v>
      </c>
    </row>
    <row r="76" spans="1:9" x14ac:dyDescent="0.3">
      <c r="A76" s="13" t="s">
        <v>28</v>
      </c>
      <c r="B76" s="1" t="s">
        <v>25</v>
      </c>
      <c r="C76" s="1" t="s">
        <v>32</v>
      </c>
      <c r="D76" s="1">
        <v>6</v>
      </c>
      <c r="E76" s="1">
        <v>110</v>
      </c>
      <c r="F76" s="2">
        <v>45190</v>
      </c>
      <c r="G76" s="2">
        <v>45205</v>
      </c>
      <c r="H76" s="14">
        <v>36545.43</v>
      </c>
      <c r="I76">
        <f>Table1[[#This Row],[Discharge Date]]-Table1[[#This Row],[Admission Date]]</f>
        <v>15</v>
      </c>
    </row>
    <row r="77" spans="1:9" x14ac:dyDescent="0.3">
      <c r="A77" s="13" t="s">
        <v>33</v>
      </c>
      <c r="B77" s="1" t="s">
        <v>25</v>
      </c>
      <c r="C77" s="1" t="s">
        <v>22</v>
      </c>
      <c r="D77" s="1">
        <v>19</v>
      </c>
      <c r="E77" s="1">
        <v>31</v>
      </c>
      <c r="F77" s="2">
        <v>45108</v>
      </c>
      <c r="G77" s="2">
        <v>45122</v>
      </c>
      <c r="H77" s="14">
        <v>43687.01</v>
      </c>
      <c r="I77">
        <f>Table1[[#This Row],[Discharge Date]]-Table1[[#This Row],[Admission Date]]</f>
        <v>14</v>
      </c>
    </row>
    <row r="78" spans="1:9" x14ac:dyDescent="0.3">
      <c r="A78" s="13" t="s">
        <v>33</v>
      </c>
      <c r="B78" s="1" t="s">
        <v>20</v>
      </c>
      <c r="C78" s="1" t="s">
        <v>32</v>
      </c>
      <c r="D78" s="1">
        <v>7</v>
      </c>
      <c r="E78" s="1">
        <v>50</v>
      </c>
      <c r="F78" s="2">
        <v>45140</v>
      </c>
      <c r="G78" s="2">
        <v>45145</v>
      </c>
      <c r="H78" s="14">
        <v>13902.24</v>
      </c>
      <c r="I78">
        <f>Table1[[#This Row],[Discharge Date]]-Table1[[#This Row],[Admission Date]]</f>
        <v>5</v>
      </c>
    </row>
    <row r="79" spans="1:9" x14ac:dyDescent="0.3">
      <c r="A79" s="13" t="s">
        <v>24</v>
      </c>
      <c r="B79" s="1" t="s">
        <v>29</v>
      </c>
      <c r="C79" s="1" t="s">
        <v>34</v>
      </c>
      <c r="D79" s="1">
        <v>32</v>
      </c>
      <c r="E79" s="1">
        <v>56</v>
      </c>
      <c r="F79" s="2">
        <v>44937</v>
      </c>
      <c r="G79" s="2">
        <v>44952</v>
      </c>
      <c r="H79" s="14">
        <v>22456.61</v>
      </c>
      <c r="I79">
        <f>Table1[[#This Row],[Discharge Date]]-Table1[[#This Row],[Admission Date]]</f>
        <v>15</v>
      </c>
    </row>
    <row r="80" spans="1:9" x14ac:dyDescent="0.3">
      <c r="A80" s="13" t="s">
        <v>36</v>
      </c>
      <c r="B80" s="1" t="s">
        <v>9</v>
      </c>
      <c r="C80" s="1" t="s">
        <v>18</v>
      </c>
      <c r="D80" s="1">
        <v>28</v>
      </c>
      <c r="E80" s="1">
        <v>154</v>
      </c>
      <c r="F80" s="2">
        <v>45173</v>
      </c>
      <c r="G80" s="2">
        <v>45188</v>
      </c>
      <c r="H80" s="14">
        <v>23012.639999999999</v>
      </c>
      <c r="I80">
        <f>Table1[[#This Row],[Discharge Date]]-Table1[[#This Row],[Admission Date]]</f>
        <v>15</v>
      </c>
    </row>
    <row r="81" spans="1:9" x14ac:dyDescent="0.3">
      <c r="A81" s="13" t="s">
        <v>16</v>
      </c>
      <c r="B81" s="1" t="s">
        <v>31</v>
      </c>
      <c r="C81" s="1" t="s">
        <v>34</v>
      </c>
      <c r="D81" s="1">
        <v>44</v>
      </c>
      <c r="E81" s="1">
        <v>194</v>
      </c>
      <c r="F81" s="2">
        <v>45156</v>
      </c>
      <c r="G81" s="2">
        <v>45165</v>
      </c>
      <c r="H81" s="14">
        <v>33963.65</v>
      </c>
      <c r="I81">
        <f>Table1[[#This Row],[Discharge Date]]-Table1[[#This Row],[Admission Date]]</f>
        <v>9</v>
      </c>
    </row>
    <row r="82" spans="1:9" x14ac:dyDescent="0.3">
      <c r="A82" s="13" t="s">
        <v>24</v>
      </c>
      <c r="B82" s="1" t="s">
        <v>17</v>
      </c>
      <c r="C82" s="1" t="s">
        <v>21</v>
      </c>
      <c r="D82" s="1">
        <v>40</v>
      </c>
      <c r="E82" s="1">
        <v>150</v>
      </c>
      <c r="F82" s="2">
        <v>45047</v>
      </c>
      <c r="G82" s="2">
        <v>45048</v>
      </c>
      <c r="H82" s="14">
        <v>9775.99</v>
      </c>
      <c r="I82">
        <f>Table1[[#This Row],[Discharge Date]]-Table1[[#This Row],[Admission Date]]</f>
        <v>1</v>
      </c>
    </row>
    <row r="83" spans="1:9" x14ac:dyDescent="0.3">
      <c r="A83" s="13" t="s">
        <v>36</v>
      </c>
      <c r="B83" s="1" t="s">
        <v>14</v>
      </c>
      <c r="C83" s="1" t="s">
        <v>18</v>
      </c>
      <c r="D83" s="1">
        <v>38</v>
      </c>
      <c r="E83" s="1">
        <v>108</v>
      </c>
      <c r="F83" s="2">
        <v>45024</v>
      </c>
      <c r="G83" s="2">
        <v>45036</v>
      </c>
      <c r="H83" s="14">
        <v>17211.57</v>
      </c>
      <c r="I83">
        <f>Table1[[#This Row],[Discharge Date]]-Table1[[#This Row],[Admission Date]]</f>
        <v>12</v>
      </c>
    </row>
    <row r="84" spans="1:9" x14ac:dyDescent="0.3">
      <c r="A84" s="13" t="s">
        <v>23</v>
      </c>
      <c r="B84" s="1" t="s">
        <v>14</v>
      </c>
      <c r="C84" s="1" t="s">
        <v>18</v>
      </c>
      <c r="D84" s="1">
        <v>17</v>
      </c>
      <c r="E84" s="1">
        <v>29</v>
      </c>
      <c r="F84" s="2">
        <v>44942</v>
      </c>
      <c r="G84" s="2">
        <v>44951</v>
      </c>
      <c r="H84" s="14">
        <v>17999.48</v>
      </c>
      <c r="I84">
        <f>Table1[[#This Row],[Discharge Date]]-Table1[[#This Row],[Admission Date]]</f>
        <v>9</v>
      </c>
    </row>
    <row r="85" spans="1:9" x14ac:dyDescent="0.3">
      <c r="A85" s="13" t="s">
        <v>36</v>
      </c>
      <c r="B85" s="1" t="s">
        <v>17</v>
      </c>
      <c r="C85" s="1" t="s">
        <v>30</v>
      </c>
      <c r="D85" s="1">
        <v>43</v>
      </c>
      <c r="E85" s="1">
        <v>96</v>
      </c>
      <c r="F85" s="2">
        <v>44961</v>
      </c>
      <c r="G85" s="2">
        <v>44962</v>
      </c>
      <c r="H85" s="14">
        <v>42883.43</v>
      </c>
      <c r="I85">
        <f>Table1[[#This Row],[Discharge Date]]-Table1[[#This Row],[Admission Date]]</f>
        <v>1</v>
      </c>
    </row>
    <row r="86" spans="1:9" x14ac:dyDescent="0.3">
      <c r="A86" s="13" t="s">
        <v>23</v>
      </c>
      <c r="B86" s="1" t="s">
        <v>35</v>
      </c>
      <c r="C86" s="1" t="s">
        <v>32</v>
      </c>
      <c r="D86" s="1">
        <v>21</v>
      </c>
      <c r="E86" s="1">
        <v>151</v>
      </c>
      <c r="F86" s="2">
        <v>45084</v>
      </c>
      <c r="G86" s="2">
        <v>45086</v>
      </c>
      <c r="H86" s="14">
        <v>2854.22</v>
      </c>
      <c r="I86">
        <f>Table1[[#This Row],[Discharge Date]]-Table1[[#This Row],[Admission Date]]</f>
        <v>2</v>
      </c>
    </row>
    <row r="87" spans="1:9" x14ac:dyDescent="0.3">
      <c r="A87" s="13" t="s">
        <v>33</v>
      </c>
      <c r="B87" s="1" t="s">
        <v>25</v>
      </c>
      <c r="C87" s="1" t="s">
        <v>34</v>
      </c>
      <c r="D87" s="1">
        <v>40</v>
      </c>
      <c r="E87" s="1">
        <v>88</v>
      </c>
      <c r="F87" s="2">
        <v>45007</v>
      </c>
      <c r="G87" s="2">
        <v>45010</v>
      </c>
      <c r="H87" s="14">
        <v>8333.48</v>
      </c>
      <c r="I87">
        <f>Table1[[#This Row],[Discharge Date]]-Table1[[#This Row],[Admission Date]]</f>
        <v>3</v>
      </c>
    </row>
    <row r="88" spans="1:9" x14ac:dyDescent="0.3">
      <c r="A88" s="13" t="s">
        <v>19</v>
      </c>
      <c r="B88" s="1" t="s">
        <v>14</v>
      </c>
      <c r="C88" s="1" t="s">
        <v>18</v>
      </c>
      <c r="D88" s="1">
        <v>25</v>
      </c>
      <c r="E88" s="1">
        <v>131</v>
      </c>
      <c r="F88" s="2">
        <v>45107</v>
      </c>
      <c r="G88" s="2">
        <v>45109</v>
      </c>
      <c r="H88" s="14">
        <v>47678.73</v>
      </c>
      <c r="I88">
        <f>Table1[[#This Row],[Discharge Date]]-Table1[[#This Row],[Admission Date]]</f>
        <v>2</v>
      </c>
    </row>
    <row r="89" spans="1:9" x14ac:dyDescent="0.3">
      <c r="A89" s="13" t="s">
        <v>11</v>
      </c>
      <c r="B89" s="1" t="s">
        <v>14</v>
      </c>
      <c r="C89" s="1" t="s">
        <v>30</v>
      </c>
      <c r="D89" s="1">
        <v>9</v>
      </c>
      <c r="E89" s="1">
        <v>106</v>
      </c>
      <c r="F89" s="2">
        <v>45244</v>
      </c>
      <c r="G89" s="2">
        <v>45251</v>
      </c>
      <c r="H89" s="14">
        <v>44526.27</v>
      </c>
      <c r="I89">
        <f>Table1[[#This Row],[Discharge Date]]-Table1[[#This Row],[Admission Date]]</f>
        <v>7</v>
      </c>
    </row>
    <row r="90" spans="1:9" x14ac:dyDescent="0.3">
      <c r="A90" s="13" t="s">
        <v>28</v>
      </c>
      <c r="B90" s="1" t="s">
        <v>12</v>
      </c>
      <c r="C90" s="1" t="s">
        <v>26</v>
      </c>
      <c r="D90" s="1">
        <v>48</v>
      </c>
      <c r="E90" s="1">
        <v>25</v>
      </c>
      <c r="F90" s="2">
        <v>45215</v>
      </c>
      <c r="G90" s="2">
        <v>45227</v>
      </c>
      <c r="H90" s="14">
        <v>4514.63</v>
      </c>
      <c r="I90">
        <f>Table1[[#This Row],[Discharge Date]]-Table1[[#This Row],[Admission Date]]</f>
        <v>12</v>
      </c>
    </row>
    <row r="91" spans="1:9" x14ac:dyDescent="0.3">
      <c r="A91" s="13" t="s">
        <v>36</v>
      </c>
      <c r="B91" s="1" t="s">
        <v>14</v>
      </c>
      <c r="C91" s="1" t="s">
        <v>21</v>
      </c>
      <c r="D91" s="1">
        <v>23</v>
      </c>
      <c r="E91" s="1">
        <v>20</v>
      </c>
      <c r="F91" s="2">
        <v>45033</v>
      </c>
      <c r="G91" s="2">
        <v>45038</v>
      </c>
      <c r="H91" s="14">
        <v>25418.26</v>
      </c>
      <c r="I91">
        <f>Table1[[#This Row],[Discharge Date]]-Table1[[#This Row],[Admission Date]]</f>
        <v>5</v>
      </c>
    </row>
    <row r="92" spans="1:9" x14ac:dyDescent="0.3">
      <c r="A92" s="13" t="s">
        <v>23</v>
      </c>
      <c r="B92" s="1" t="s">
        <v>12</v>
      </c>
      <c r="C92" s="1" t="s">
        <v>10</v>
      </c>
      <c r="D92" s="1">
        <v>6</v>
      </c>
      <c r="E92" s="1">
        <v>48</v>
      </c>
      <c r="F92" s="2">
        <v>45118</v>
      </c>
      <c r="G92" s="2">
        <v>45131</v>
      </c>
      <c r="H92" s="14">
        <v>46666.48</v>
      </c>
      <c r="I92">
        <f>Table1[[#This Row],[Discharge Date]]-Table1[[#This Row],[Admission Date]]</f>
        <v>13</v>
      </c>
    </row>
    <row r="93" spans="1:9" x14ac:dyDescent="0.3">
      <c r="A93" s="13" t="s">
        <v>11</v>
      </c>
      <c r="B93" s="1" t="s">
        <v>17</v>
      </c>
      <c r="C93" s="1" t="s">
        <v>13</v>
      </c>
      <c r="D93" s="1">
        <v>19</v>
      </c>
      <c r="E93" s="1">
        <v>152</v>
      </c>
      <c r="F93" s="2">
        <v>45187</v>
      </c>
      <c r="G93" s="2">
        <v>45188</v>
      </c>
      <c r="H93" s="14">
        <v>39298.300000000003</v>
      </c>
      <c r="I93">
        <f>Table1[[#This Row],[Discharge Date]]-Table1[[#This Row],[Admission Date]]</f>
        <v>1</v>
      </c>
    </row>
    <row r="94" spans="1:9" x14ac:dyDescent="0.3">
      <c r="A94" s="13" t="s">
        <v>33</v>
      </c>
      <c r="B94" s="1" t="s">
        <v>35</v>
      </c>
      <c r="C94" s="1" t="s">
        <v>26</v>
      </c>
      <c r="D94" s="1">
        <v>24</v>
      </c>
      <c r="E94" s="1">
        <v>43</v>
      </c>
      <c r="F94" s="2">
        <v>45198</v>
      </c>
      <c r="G94" s="2">
        <v>45200</v>
      </c>
      <c r="H94" s="14">
        <v>45451.78</v>
      </c>
      <c r="I94">
        <f>Table1[[#This Row],[Discharge Date]]-Table1[[#This Row],[Admission Date]]</f>
        <v>2</v>
      </c>
    </row>
    <row r="95" spans="1:9" x14ac:dyDescent="0.3">
      <c r="A95" s="13" t="s">
        <v>23</v>
      </c>
      <c r="B95" s="1" t="s">
        <v>25</v>
      </c>
      <c r="C95" s="1" t="s">
        <v>15</v>
      </c>
      <c r="D95" s="1">
        <v>43</v>
      </c>
      <c r="E95" s="1">
        <v>133</v>
      </c>
      <c r="F95" s="2">
        <v>44953</v>
      </c>
      <c r="G95" s="2">
        <v>44968</v>
      </c>
      <c r="H95" s="14">
        <v>24556.18</v>
      </c>
      <c r="I95">
        <f>Table1[[#This Row],[Discharge Date]]-Table1[[#This Row],[Admission Date]]</f>
        <v>15</v>
      </c>
    </row>
    <row r="96" spans="1:9" x14ac:dyDescent="0.3">
      <c r="A96" s="13" t="s">
        <v>27</v>
      </c>
      <c r="B96" s="1" t="s">
        <v>20</v>
      </c>
      <c r="C96" s="1" t="s">
        <v>22</v>
      </c>
      <c r="D96" s="1">
        <v>20</v>
      </c>
      <c r="E96" s="1">
        <v>77</v>
      </c>
      <c r="F96" s="2">
        <v>44992</v>
      </c>
      <c r="G96" s="2">
        <v>45003</v>
      </c>
      <c r="H96" s="14">
        <v>7146.07</v>
      </c>
      <c r="I96">
        <f>Table1[[#This Row],[Discharge Date]]-Table1[[#This Row],[Admission Date]]</f>
        <v>11</v>
      </c>
    </row>
    <row r="97" spans="1:9" x14ac:dyDescent="0.3">
      <c r="A97" s="13" t="s">
        <v>8</v>
      </c>
      <c r="B97" s="1" t="s">
        <v>37</v>
      </c>
      <c r="C97" s="1" t="s">
        <v>21</v>
      </c>
      <c r="D97" s="1">
        <v>28</v>
      </c>
      <c r="E97" s="1">
        <v>126</v>
      </c>
      <c r="F97" s="2">
        <v>45259</v>
      </c>
      <c r="G97" s="2">
        <v>45270</v>
      </c>
      <c r="H97" s="14">
        <v>21065.59</v>
      </c>
      <c r="I97">
        <f>Table1[[#This Row],[Discharge Date]]-Table1[[#This Row],[Admission Date]]</f>
        <v>11</v>
      </c>
    </row>
    <row r="98" spans="1:9" x14ac:dyDescent="0.3">
      <c r="A98" s="13" t="s">
        <v>16</v>
      </c>
      <c r="B98" s="1" t="s">
        <v>25</v>
      </c>
      <c r="C98" s="1" t="s">
        <v>26</v>
      </c>
      <c r="D98" s="1">
        <v>26</v>
      </c>
      <c r="E98" s="1">
        <v>169</v>
      </c>
      <c r="F98" s="2">
        <v>44975</v>
      </c>
      <c r="G98" s="2">
        <v>44976</v>
      </c>
      <c r="H98" s="14">
        <v>41677.339999999997</v>
      </c>
      <c r="I98">
        <f>Table1[[#This Row],[Discharge Date]]-Table1[[#This Row],[Admission Date]]</f>
        <v>1</v>
      </c>
    </row>
    <row r="99" spans="1:9" x14ac:dyDescent="0.3">
      <c r="A99" s="13" t="s">
        <v>28</v>
      </c>
      <c r="B99" s="1" t="s">
        <v>37</v>
      </c>
      <c r="C99" s="1" t="s">
        <v>22</v>
      </c>
      <c r="D99" s="1">
        <v>40</v>
      </c>
      <c r="E99" s="1">
        <v>193</v>
      </c>
      <c r="F99" s="2">
        <v>45231</v>
      </c>
      <c r="G99" s="2">
        <v>45245</v>
      </c>
      <c r="H99" s="14">
        <v>47625.7</v>
      </c>
      <c r="I99">
        <f>Table1[[#This Row],[Discharge Date]]-Table1[[#This Row],[Admission Date]]</f>
        <v>14</v>
      </c>
    </row>
    <row r="100" spans="1:9" x14ac:dyDescent="0.3">
      <c r="A100" s="13" t="s">
        <v>36</v>
      </c>
      <c r="B100" s="1" t="s">
        <v>31</v>
      </c>
      <c r="C100" s="1" t="s">
        <v>34</v>
      </c>
      <c r="D100" s="1">
        <v>42</v>
      </c>
      <c r="E100" s="1">
        <v>163</v>
      </c>
      <c r="F100" s="2">
        <v>45065</v>
      </c>
      <c r="G100" s="2">
        <v>45072</v>
      </c>
      <c r="H100" s="14">
        <v>8684.16</v>
      </c>
      <c r="I100">
        <f>Table1[[#This Row],[Discharge Date]]-Table1[[#This Row],[Admission Date]]</f>
        <v>7</v>
      </c>
    </row>
    <row r="101" spans="1:9" x14ac:dyDescent="0.3">
      <c r="A101" s="15" t="s">
        <v>28</v>
      </c>
      <c r="B101" s="16" t="s">
        <v>37</v>
      </c>
      <c r="C101" s="16" t="s">
        <v>18</v>
      </c>
      <c r="D101" s="16">
        <v>14</v>
      </c>
      <c r="E101" s="16">
        <v>37</v>
      </c>
      <c r="F101" s="17">
        <v>45269</v>
      </c>
      <c r="G101" s="17">
        <v>45275</v>
      </c>
      <c r="H101" s="18">
        <v>17213.05</v>
      </c>
      <c r="I101">
        <f>Table1[[#This Row],[Discharge Date]]-Table1[[#This Row],[Admission Date]]</f>
        <v>6</v>
      </c>
    </row>
  </sheetData>
  <mergeCells count="1">
    <mergeCell ref="J1:L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849B-0797-496E-8469-2B81C7C46F2C}">
  <sheetPr codeName="Sheet2"/>
  <dimension ref="A1:C13"/>
  <sheetViews>
    <sheetView workbookViewId="0">
      <selection activeCell="F13" sqref="F13"/>
    </sheetView>
  </sheetViews>
  <sheetFormatPr defaultRowHeight="14.4" x14ac:dyDescent="0.3"/>
  <cols>
    <col min="1" max="1" width="13.44140625" bestFit="1" customWidth="1"/>
    <col min="2" max="2" width="21.5546875" bestFit="1" customWidth="1"/>
    <col min="3" max="3" width="24.33203125" bestFit="1" customWidth="1"/>
  </cols>
  <sheetData>
    <row r="1" spans="1:3" x14ac:dyDescent="0.3">
      <c r="A1" s="23" t="s">
        <v>58</v>
      </c>
      <c r="B1" s="23"/>
      <c r="C1" s="23"/>
    </row>
    <row r="2" spans="1:3" x14ac:dyDescent="0.3">
      <c r="A2" s="3" t="s">
        <v>38</v>
      </c>
      <c r="B2" s="3" t="s">
        <v>41</v>
      </c>
      <c r="C2" s="3" t="s">
        <v>40</v>
      </c>
    </row>
    <row r="3" spans="1:3" x14ac:dyDescent="0.3">
      <c r="A3" s="4" t="s">
        <v>14</v>
      </c>
      <c r="B3" s="22">
        <v>1467</v>
      </c>
      <c r="C3" s="22">
        <v>523939.12</v>
      </c>
    </row>
    <row r="4" spans="1:3" x14ac:dyDescent="0.3">
      <c r="A4" s="4" t="s">
        <v>25</v>
      </c>
      <c r="B4" s="22">
        <v>1505</v>
      </c>
      <c r="C4" s="22">
        <v>438315.39</v>
      </c>
    </row>
    <row r="5" spans="1:3" x14ac:dyDescent="0.3">
      <c r="A5" s="6" t="s">
        <v>9</v>
      </c>
      <c r="B5" s="9">
        <v>840</v>
      </c>
      <c r="C5" s="9">
        <v>269218.94</v>
      </c>
    </row>
    <row r="6" spans="1:3" x14ac:dyDescent="0.3">
      <c r="A6" s="4" t="s">
        <v>12</v>
      </c>
      <c r="B6" s="22">
        <v>555</v>
      </c>
      <c r="C6" s="22">
        <v>255671.15</v>
      </c>
    </row>
    <row r="7" spans="1:3" x14ac:dyDescent="0.3">
      <c r="A7" s="4" t="s">
        <v>31</v>
      </c>
      <c r="B7" s="22">
        <v>1264</v>
      </c>
      <c r="C7" s="22">
        <v>243717.09</v>
      </c>
    </row>
    <row r="8" spans="1:3" x14ac:dyDescent="0.3">
      <c r="A8" s="4" t="s">
        <v>17</v>
      </c>
      <c r="B8" s="22">
        <v>1261</v>
      </c>
      <c r="C8" s="22">
        <v>237268.53999999998</v>
      </c>
    </row>
    <row r="9" spans="1:3" x14ac:dyDescent="0.3">
      <c r="A9" s="4" t="s">
        <v>37</v>
      </c>
      <c r="B9" s="22">
        <v>955</v>
      </c>
      <c r="C9" s="22">
        <v>224814.8</v>
      </c>
    </row>
    <row r="10" spans="1:3" x14ac:dyDescent="0.3">
      <c r="A10" s="6" t="s">
        <v>35</v>
      </c>
      <c r="B10" s="9">
        <v>421</v>
      </c>
      <c r="C10" s="9">
        <v>197037.91999999998</v>
      </c>
    </row>
    <row r="11" spans="1:3" x14ac:dyDescent="0.3">
      <c r="A11" s="4" t="s">
        <v>29</v>
      </c>
      <c r="B11" s="22">
        <v>483</v>
      </c>
      <c r="C11" s="22">
        <v>163971.52000000002</v>
      </c>
    </row>
    <row r="12" spans="1:3" x14ac:dyDescent="0.3">
      <c r="A12" s="4" t="s">
        <v>20</v>
      </c>
      <c r="B12" s="22">
        <v>596</v>
      </c>
      <c r="C12" s="22">
        <v>163356.59</v>
      </c>
    </row>
    <row r="13" spans="1:3" x14ac:dyDescent="0.3">
      <c r="A13" s="3" t="s">
        <v>39</v>
      </c>
      <c r="B13" s="10">
        <v>9347</v>
      </c>
      <c r="C13" s="10">
        <v>2717311.06</v>
      </c>
    </row>
  </sheetData>
  <mergeCells count="1">
    <mergeCell ref="A1:C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6B32-5D48-47FE-ADB7-CCCF48CAAD91}">
  <sheetPr codeName="Sheet3"/>
  <dimension ref="A1:H15"/>
  <sheetViews>
    <sheetView workbookViewId="0">
      <selection activeCell="I15" sqref="I15"/>
    </sheetView>
  </sheetViews>
  <sheetFormatPr defaultRowHeight="14.4" x14ac:dyDescent="0.3"/>
  <cols>
    <col min="1" max="1" width="13.44140625" bestFit="1" customWidth="1"/>
    <col min="2" max="2" width="24.33203125" bestFit="1" customWidth="1"/>
    <col min="4" max="4" width="13.44140625" bestFit="1" customWidth="1"/>
    <col min="5" max="5" width="24.33203125" bestFit="1" customWidth="1"/>
    <col min="7" max="7" width="13.44140625" bestFit="1" customWidth="1"/>
    <col min="8" max="8" width="24.33203125" bestFit="1" customWidth="1"/>
  </cols>
  <sheetData>
    <row r="1" spans="1:8" x14ac:dyDescent="0.3">
      <c r="A1" s="23" t="s">
        <v>54</v>
      </c>
      <c r="B1" s="24"/>
      <c r="D1" s="23" t="s">
        <v>55</v>
      </c>
      <c r="E1" s="24"/>
    </row>
    <row r="2" spans="1:8" x14ac:dyDescent="0.3">
      <c r="A2" s="3" t="s">
        <v>38</v>
      </c>
      <c r="B2" s="3" t="s">
        <v>40</v>
      </c>
      <c r="D2" s="3" t="s">
        <v>38</v>
      </c>
      <c r="E2" s="3" t="s">
        <v>40</v>
      </c>
      <c r="G2" s="3" t="s">
        <v>38</v>
      </c>
      <c r="H2" s="3" t="s">
        <v>40</v>
      </c>
    </row>
    <row r="3" spans="1:8" x14ac:dyDescent="0.3">
      <c r="A3" s="4" t="s">
        <v>50</v>
      </c>
      <c r="B3" s="5">
        <v>341284.23</v>
      </c>
      <c r="D3" s="4" t="s">
        <v>45</v>
      </c>
      <c r="E3" s="5">
        <v>88995.93</v>
      </c>
      <c r="G3" s="4" t="s">
        <v>42</v>
      </c>
      <c r="H3" s="5">
        <v>173971.54</v>
      </c>
    </row>
    <row r="4" spans="1:8" x14ac:dyDescent="0.3">
      <c r="A4" s="4" t="s">
        <v>53</v>
      </c>
      <c r="B4" s="5">
        <v>337788.45000000007</v>
      </c>
      <c r="D4" s="4" t="s">
        <v>51</v>
      </c>
      <c r="E4" s="5">
        <v>158450.68</v>
      </c>
      <c r="G4" s="4" t="s">
        <v>43</v>
      </c>
      <c r="H4" s="5">
        <v>301722.71999999997</v>
      </c>
    </row>
    <row r="5" spans="1:8" x14ac:dyDescent="0.3">
      <c r="A5" s="6" t="s">
        <v>52</v>
      </c>
      <c r="B5" s="7">
        <v>334370.33</v>
      </c>
      <c r="D5" s="6" t="s">
        <v>47</v>
      </c>
      <c r="E5" s="7">
        <v>165926.36000000002</v>
      </c>
      <c r="G5" s="6" t="s">
        <v>44</v>
      </c>
      <c r="H5" s="7">
        <v>199247.42</v>
      </c>
    </row>
    <row r="6" spans="1:8" x14ac:dyDescent="0.3">
      <c r="A6" s="4" t="s">
        <v>43</v>
      </c>
      <c r="B6" s="5">
        <v>301722.71999999997</v>
      </c>
      <c r="D6" s="4" t="s">
        <v>42</v>
      </c>
      <c r="E6" s="5">
        <v>173971.54</v>
      </c>
      <c r="G6" s="4" t="s">
        <v>45</v>
      </c>
      <c r="H6" s="5">
        <v>88995.93</v>
      </c>
    </row>
    <row r="7" spans="1:8" x14ac:dyDescent="0.3">
      <c r="A7" s="4" t="s">
        <v>46</v>
      </c>
      <c r="B7" s="5">
        <v>222986.71999999997</v>
      </c>
      <c r="D7" s="4" t="s">
        <v>49</v>
      </c>
      <c r="E7" s="5">
        <v>181039.55</v>
      </c>
      <c r="G7" s="4" t="s">
        <v>46</v>
      </c>
      <c r="H7" s="5">
        <v>222986.71999999997</v>
      </c>
    </row>
    <row r="8" spans="1:8" x14ac:dyDescent="0.3">
      <c r="G8" s="4" t="s">
        <v>47</v>
      </c>
      <c r="H8" s="5">
        <v>165926.36000000002</v>
      </c>
    </row>
    <row r="9" spans="1:8" x14ac:dyDescent="0.3">
      <c r="G9" s="6" t="s">
        <v>48</v>
      </c>
      <c r="H9" s="7">
        <v>211527.13</v>
      </c>
    </row>
    <row r="10" spans="1:8" x14ac:dyDescent="0.3">
      <c r="G10" s="4" t="s">
        <v>49</v>
      </c>
      <c r="H10" s="5">
        <v>181039.55</v>
      </c>
    </row>
    <row r="11" spans="1:8" x14ac:dyDescent="0.3">
      <c r="G11" s="4" t="s">
        <v>50</v>
      </c>
      <c r="H11" s="5">
        <v>341284.23</v>
      </c>
    </row>
    <row r="12" spans="1:8" x14ac:dyDescent="0.3">
      <c r="G12" s="6" t="s">
        <v>51</v>
      </c>
      <c r="H12" s="7">
        <v>158450.68</v>
      </c>
    </row>
    <row r="13" spans="1:8" x14ac:dyDescent="0.3">
      <c r="G13" s="4" t="s">
        <v>52</v>
      </c>
      <c r="H13" s="5">
        <v>334370.33</v>
      </c>
    </row>
    <row r="14" spans="1:8" x14ac:dyDescent="0.3">
      <c r="G14" s="4" t="s">
        <v>53</v>
      </c>
      <c r="H14" s="5">
        <v>337788.45000000007</v>
      </c>
    </row>
    <row r="15" spans="1:8" x14ac:dyDescent="0.3">
      <c r="G15" s="3" t="s">
        <v>39</v>
      </c>
      <c r="H15" s="3">
        <v>2717311.0600000005</v>
      </c>
    </row>
  </sheetData>
  <mergeCells count="2">
    <mergeCell ref="A1:B1"/>
    <mergeCell ref="D1:E1"/>
  </mergeCell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626C-8F36-481E-AF0F-3FB2EB212A71}">
  <sheetPr codeName="Sheet4"/>
  <dimension ref="A1:D13"/>
  <sheetViews>
    <sheetView workbookViewId="0">
      <selection activeCell="D3" sqref="D3"/>
    </sheetView>
  </sheetViews>
  <sheetFormatPr defaultRowHeight="14.4" x14ac:dyDescent="0.3"/>
  <cols>
    <col min="1" max="1" width="20" bestFit="1" customWidth="1"/>
    <col min="2" max="2" width="24.33203125" bestFit="1" customWidth="1"/>
    <col min="3" max="3" width="21.5546875" bestFit="1" customWidth="1"/>
    <col min="4" max="4" width="23.6640625" bestFit="1" customWidth="1"/>
  </cols>
  <sheetData>
    <row r="1" spans="1:4" x14ac:dyDescent="0.3">
      <c r="A1" s="11" t="s">
        <v>57</v>
      </c>
      <c r="B1" s="12"/>
      <c r="C1" s="11"/>
      <c r="D1" s="12"/>
    </row>
    <row r="2" spans="1:4" x14ac:dyDescent="0.3">
      <c r="A2" s="3" t="s">
        <v>38</v>
      </c>
      <c r="B2" s="3" t="s">
        <v>40</v>
      </c>
      <c r="C2" s="3" t="s">
        <v>41</v>
      </c>
      <c r="D2" s="3" t="s">
        <v>56</v>
      </c>
    </row>
    <row r="3" spans="1:4" x14ac:dyDescent="0.3">
      <c r="A3" s="6" t="s">
        <v>16</v>
      </c>
      <c r="B3" s="7">
        <v>186899.03</v>
      </c>
      <c r="C3" s="7">
        <v>1179</v>
      </c>
      <c r="D3" s="9">
        <v>158.52335029686174</v>
      </c>
    </row>
    <row r="4" spans="1:4" x14ac:dyDescent="0.3">
      <c r="A4" s="6" t="s">
        <v>27</v>
      </c>
      <c r="B4" s="7">
        <v>162188.82999999999</v>
      </c>
      <c r="C4" s="7">
        <v>853</v>
      </c>
      <c r="D4" s="9">
        <v>190.13930832356388</v>
      </c>
    </row>
    <row r="5" spans="1:4" x14ac:dyDescent="0.3">
      <c r="A5" s="6" t="s">
        <v>24</v>
      </c>
      <c r="B5" s="7">
        <v>277335.09000000003</v>
      </c>
      <c r="C5" s="7">
        <v>1192</v>
      </c>
      <c r="D5" s="9">
        <v>232.66366610738257</v>
      </c>
    </row>
    <row r="6" spans="1:4" x14ac:dyDescent="0.3">
      <c r="A6" s="6" t="s">
        <v>8</v>
      </c>
      <c r="B6" s="7">
        <v>175467.82</v>
      </c>
      <c r="C6" s="7">
        <v>713</v>
      </c>
      <c r="D6" s="9">
        <v>246.09792426367463</v>
      </c>
    </row>
    <row r="7" spans="1:4" x14ac:dyDescent="0.3">
      <c r="A7" s="6" t="s">
        <v>36</v>
      </c>
      <c r="B7" s="7">
        <v>314786.05</v>
      </c>
      <c r="C7" s="7">
        <v>1121</v>
      </c>
      <c r="D7" s="9">
        <v>280.80825156110615</v>
      </c>
    </row>
    <row r="8" spans="1:4" x14ac:dyDescent="0.3">
      <c r="A8" s="6" t="s">
        <v>28</v>
      </c>
      <c r="B8" s="7">
        <v>352178.06</v>
      </c>
      <c r="C8" s="7">
        <v>1059</v>
      </c>
      <c r="D8" s="9">
        <v>332.55718602455147</v>
      </c>
    </row>
    <row r="9" spans="1:4" x14ac:dyDescent="0.3">
      <c r="A9" s="6" t="s">
        <v>23</v>
      </c>
      <c r="B9" s="7">
        <v>329739.44999999995</v>
      </c>
      <c r="C9" s="7">
        <v>986</v>
      </c>
      <c r="D9" s="9">
        <v>334.4213488843813</v>
      </c>
    </row>
    <row r="10" spans="1:4" x14ac:dyDescent="0.3">
      <c r="A10" s="6" t="s">
        <v>11</v>
      </c>
      <c r="B10" s="7">
        <v>337677.36</v>
      </c>
      <c r="C10" s="7">
        <v>895</v>
      </c>
      <c r="D10" s="9">
        <v>377.29313966480447</v>
      </c>
    </row>
    <row r="11" spans="1:4" x14ac:dyDescent="0.3">
      <c r="A11" s="6" t="s">
        <v>19</v>
      </c>
      <c r="B11" s="7">
        <v>347988.43999999994</v>
      </c>
      <c r="C11" s="7">
        <v>843</v>
      </c>
      <c r="D11" s="9">
        <v>412.79767497034396</v>
      </c>
    </row>
    <row r="12" spans="1:4" x14ac:dyDescent="0.3">
      <c r="A12" s="6" t="s">
        <v>33</v>
      </c>
      <c r="B12" s="7">
        <v>233050.93</v>
      </c>
      <c r="C12" s="7">
        <v>506</v>
      </c>
      <c r="D12" s="9">
        <v>460.57496047430828</v>
      </c>
    </row>
    <row r="13" spans="1:4" x14ac:dyDescent="0.3">
      <c r="A13" s="3" t="s">
        <v>39</v>
      </c>
      <c r="B13" s="3">
        <v>2717311.06</v>
      </c>
      <c r="C13" s="3">
        <v>9347</v>
      </c>
      <c r="D13" s="8">
        <v>290.71478121322343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25DC-5086-4B9E-A9BF-29F48FBDF52C}">
  <sheetPr codeName="Sheet5"/>
  <dimension ref="A1:B13"/>
  <sheetViews>
    <sheetView zoomScale="115" zoomScaleNormal="115" workbookViewId="0">
      <selection activeCell="K14" sqref="K14"/>
    </sheetView>
  </sheetViews>
  <sheetFormatPr defaultRowHeight="14.4" x14ac:dyDescent="0.3"/>
  <cols>
    <col min="1" max="1" width="15.21875" bestFit="1" customWidth="1"/>
    <col min="2" max="2" width="21.44140625" bestFit="1" customWidth="1"/>
    <col min="3" max="3" width="11.6640625" bestFit="1" customWidth="1"/>
    <col min="4" max="4" width="4.21875" bestFit="1" customWidth="1"/>
    <col min="5" max="5" width="15.6640625" bestFit="1" customWidth="1"/>
    <col min="6" max="6" width="10.6640625" bestFit="1" customWidth="1"/>
    <col min="7" max="7" width="9.5546875" bestFit="1" customWidth="1"/>
    <col min="8" max="8" width="8.77734375" bestFit="1" customWidth="1"/>
    <col min="9" max="9" width="11.33203125" bestFit="1" customWidth="1"/>
    <col min="10" max="10" width="9.5546875" bestFit="1" customWidth="1"/>
    <col min="11" max="11" width="7.33203125" bestFit="1" customWidth="1"/>
    <col min="12" max="12" width="10.5546875" bestFit="1" customWidth="1"/>
  </cols>
  <sheetData>
    <row r="1" spans="1:2" x14ac:dyDescent="0.3">
      <c r="A1" s="30" t="s">
        <v>60</v>
      </c>
      <c r="B1" s="30"/>
    </row>
    <row r="2" spans="1:2" x14ac:dyDescent="0.3">
      <c r="A2" s="3" t="s">
        <v>38</v>
      </c>
      <c r="B2" s="3" t="s">
        <v>60</v>
      </c>
    </row>
    <row r="3" spans="1:2" x14ac:dyDescent="0.3">
      <c r="A3" s="6" t="s">
        <v>34</v>
      </c>
      <c r="B3" s="29">
        <v>9.25</v>
      </c>
    </row>
    <row r="4" spans="1:2" x14ac:dyDescent="0.3">
      <c r="A4" s="6" t="s">
        <v>15</v>
      </c>
      <c r="B4" s="29">
        <v>9.1111111111111107</v>
      </c>
    </row>
    <row r="5" spans="1:2" x14ac:dyDescent="0.3">
      <c r="A5" s="6" t="s">
        <v>18</v>
      </c>
      <c r="B5" s="29">
        <v>8.7222222222222214</v>
      </c>
    </row>
    <row r="6" spans="1:2" x14ac:dyDescent="0.3">
      <c r="A6" s="6" t="s">
        <v>22</v>
      </c>
      <c r="B6" s="29">
        <v>8.1111111111111107</v>
      </c>
    </row>
    <row r="7" spans="1:2" x14ac:dyDescent="0.3">
      <c r="A7" s="6" t="s">
        <v>13</v>
      </c>
      <c r="B7" s="29">
        <v>8.0833333333333339</v>
      </c>
    </row>
    <row r="8" spans="1:2" x14ac:dyDescent="0.3">
      <c r="A8" s="6" t="s">
        <v>21</v>
      </c>
      <c r="B8" s="29">
        <v>7.666666666666667</v>
      </c>
    </row>
    <row r="9" spans="1:2" x14ac:dyDescent="0.3">
      <c r="A9" s="6" t="s">
        <v>26</v>
      </c>
      <c r="B9" s="29">
        <v>7.4285714285714288</v>
      </c>
    </row>
    <row r="10" spans="1:2" x14ac:dyDescent="0.3">
      <c r="A10" s="6" t="s">
        <v>10</v>
      </c>
      <c r="B10" s="29">
        <v>7.1428571428571432</v>
      </c>
    </row>
    <row r="11" spans="1:2" x14ac:dyDescent="0.3">
      <c r="A11" s="6" t="s">
        <v>32</v>
      </c>
      <c r="B11" s="29">
        <v>6.8571428571428568</v>
      </c>
    </row>
    <row r="12" spans="1:2" x14ac:dyDescent="0.3">
      <c r="A12" s="6" t="s">
        <v>30</v>
      </c>
      <c r="B12" s="29">
        <v>5.6</v>
      </c>
    </row>
    <row r="13" spans="1:2" x14ac:dyDescent="0.3">
      <c r="A13" s="3" t="s">
        <v>39</v>
      </c>
      <c r="B13" s="8">
        <v>7.95</v>
      </c>
    </row>
  </sheetData>
  <mergeCells count="1">
    <mergeCell ref="A1:B1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E242-DEB2-4D8C-B377-2DBC0569D36A}">
  <dimension ref="A2:F13"/>
  <sheetViews>
    <sheetView zoomScale="96" workbookViewId="0">
      <selection activeCell="S18" sqref="S18"/>
    </sheetView>
  </sheetViews>
  <sheetFormatPr defaultRowHeight="14.4" x14ac:dyDescent="0.3"/>
  <cols>
    <col min="1" max="1" width="12.44140625" bestFit="1" customWidth="1"/>
    <col min="2" max="2" width="19.33203125" bestFit="1" customWidth="1"/>
    <col min="3" max="3" width="22.109375" bestFit="1" customWidth="1"/>
    <col min="5" max="5" width="19.33203125" bestFit="1" customWidth="1"/>
    <col min="6" max="6" width="22.109375" bestFit="1" customWidth="1"/>
  </cols>
  <sheetData>
    <row r="2" spans="1:6" x14ac:dyDescent="0.3">
      <c r="A2" s="25" t="s">
        <v>38</v>
      </c>
      <c r="B2" t="s">
        <v>41</v>
      </c>
      <c r="C2" t="s">
        <v>40</v>
      </c>
      <c r="E2" s="31" t="s">
        <v>41</v>
      </c>
      <c r="F2" s="31" t="s">
        <v>40</v>
      </c>
    </row>
    <row r="3" spans="1:6" x14ac:dyDescent="0.3">
      <c r="A3" s="26" t="s">
        <v>14</v>
      </c>
      <c r="B3" s="28">
        <v>1467</v>
      </c>
      <c r="C3" s="32">
        <v>523939.12</v>
      </c>
      <c r="E3" s="28">
        <v>1467</v>
      </c>
      <c r="F3" s="33">
        <v>523939.12</v>
      </c>
    </row>
    <row r="4" spans="1:6" x14ac:dyDescent="0.3">
      <c r="A4" s="26" t="s">
        <v>37</v>
      </c>
      <c r="B4" s="28">
        <v>955</v>
      </c>
      <c r="C4" s="32">
        <v>224814.8</v>
      </c>
      <c r="E4" s="28">
        <v>955</v>
      </c>
      <c r="F4" s="33">
        <v>224814.8</v>
      </c>
    </row>
    <row r="5" spans="1:6" x14ac:dyDescent="0.3">
      <c r="A5" s="26" t="s">
        <v>9</v>
      </c>
      <c r="B5" s="28">
        <v>840</v>
      </c>
      <c r="C5" s="32">
        <v>269218.94</v>
      </c>
      <c r="E5" s="28">
        <v>840</v>
      </c>
      <c r="F5" s="33">
        <v>269218.94</v>
      </c>
    </row>
    <row r="6" spans="1:6" x14ac:dyDescent="0.3">
      <c r="A6" s="26" t="s">
        <v>35</v>
      </c>
      <c r="B6" s="28">
        <v>421</v>
      </c>
      <c r="C6" s="32">
        <v>197037.91999999998</v>
      </c>
      <c r="E6" s="28">
        <v>421</v>
      </c>
      <c r="F6" s="33">
        <v>197037.91999999998</v>
      </c>
    </row>
    <row r="7" spans="1:6" x14ac:dyDescent="0.3">
      <c r="A7" s="26" t="s">
        <v>17</v>
      </c>
      <c r="B7" s="28">
        <v>1261</v>
      </c>
      <c r="C7" s="32">
        <v>237268.53999999998</v>
      </c>
      <c r="E7" s="28">
        <v>1261</v>
      </c>
      <c r="F7" s="33">
        <v>237268.53999999998</v>
      </c>
    </row>
    <row r="8" spans="1:6" x14ac:dyDescent="0.3">
      <c r="A8" s="26" t="s">
        <v>25</v>
      </c>
      <c r="B8" s="28">
        <v>1505</v>
      </c>
      <c r="C8" s="32">
        <v>438315.39</v>
      </c>
      <c r="E8" s="28">
        <v>1505</v>
      </c>
      <c r="F8" s="33">
        <v>438315.39</v>
      </c>
    </row>
    <row r="9" spans="1:6" x14ac:dyDescent="0.3">
      <c r="A9" s="26" t="s">
        <v>20</v>
      </c>
      <c r="B9" s="28">
        <v>596</v>
      </c>
      <c r="C9" s="32">
        <v>163356.59</v>
      </c>
      <c r="E9" s="28">
        <v>596</v>
      </c>
      <c r="F9" s="33">
        <v>163356.59</v>
      </c>
    </row>
    <row r="10" spans="1:6" x14ac:dyDescent="0.3">
      <c r="A10" s="26" t="s">
        <v>31</v>
      </c>
      <c r="B10" s="28">
        <v>1264</v>
      </c>
      <c r="C10" s="32">
        <v>243717.09</v>
      </c>
      <c r="E10" s="28">
        <v>1264</v>
      </c>
      <c r="F10" s="33">
        <v>243717.09</v>
      </c>
    </row>
    <row r="11" spans="1:6" x14ac:dyDescent="0.3">
      <c r="A11" s="26" t="s">
        <v>29</v>
      </c>
      <c r="B11" s="28">
        <v>483</v>
      </c>
      <c r="C11" s="32">
        <v>163971.52000000002</v>
      </c>
      <c r="E11" s="28">
        <v>483</v>
      </c>
      <c r="F11" s="33">
        <v>163971.52000000002</v>
      </c>
    </row>
    <row r="12" spans="1:6" x14ac:dyDescent="0.3">
      <c r="A12" s="26" t="s">
        <v>12</v>
      </c>
      <c r="B12" s="28">
        <v>555</v>
      </c>
      <c r="C12" s="32">
        <v>255671.15</v>
      </c>
      <c r="E12" s="28">
        <v>555</v>
      </c>
      <c r="F12" s="33">
        <v>255671.15</v>
      </c>
    </row>
    <row r="13" spans="1:6" x14ac:dyDescent="0.3">
      <c r="A13" s="26" t="s">
        <v>39</v>
      </c>
      <c r="B13" s="28">
        <v>9347</v>
      </c>
      <c r="C13" s="32">
        <v>2717311.06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Hospital_Data (1)</vt:lpstr>
      <vt:lpstr>highest_medical-burden</vt:lpstr>
      <vt:lpstr>month_expense</vt:lpstr>
      <vt:lpstr>hospital_efficiency</vt:lpstr>
      <vt:lpstr>Avg_stay-dep</vt:lpstr>
      <vt:lpstr>patients v|s 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grd</dc:creator>
  <cp:lastModifiedBy>Yash gupta</cp:lastModifiedBy>
  <dcterms:created xsi:type="dcterms:W3CDTF">2026-03-20T09:14:14Z</dcterms:created>
  <dcterms:modified xsi:type="dcterms:W3CDTF">2026-03-22T12:12:15Z</dcterms:modified>
</cp:coreProperties>
</file>